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0fe592a41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D_요약" sheetId="1" r:id="R4544988e2db9494f"/>
    <x:sheet xmlns:r="http://schemas.openxmlformats.org/officeDocument/2006/relationships" name="기능_요구사항" sheetId="2" r:id="R15366965a1c044f4"/>
    <x:sheet xmlns:r="http://schemas.openxmlformats.org/officeDocument/2006/relationships" name="화면_사용자흐름" sheetId="3" r:id="R7e18aa0ceb6642e2"/>
    <x:sheet xmlns:r="http://schemas.openxmlformats.org/officeDocument/2006/relationships" name="API_명세" sheetId="4" r:id="R8dfd0bac14de427c"/>
    <x:sheet xmlns:r="http://schemas.openxmlformats.org/officeDocument/2006/relationships" name="데이터_정의" sheetId="5" r:id="R33208fd2c8284b1a"/>
    <x:sheet xmlns:r="http://schemas.openxmlformats.org/officeDocument/2006/relationships" name="비기능_완료기준" sheetId="6" r:id="R82fedc501ef8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183B56"/>
      <x:name val="Carlito"/>
    </x:font>
    <x:font>
      <x:b/>
      <x:sz val="11"/>
      <x:color rgb="FFFFFFFF"/>
      <x:name val="Carlito"/>
    </x:font>
    <x:font>
      <x:b/>
      <x:sz val="18"/>
      <x:color rgb="FF127A5A"/>
      <x:name val="Carlito"/>
    </x:font>
    <x:font>
      <x:sz val="10"/>
      <x:color rgb="FF17211D"/>
      <x:name val="Carlito"/>
    </x:font>
    <x:font>
      <x:b/>
      <x:sz val="10"/>
      <x:color rgb="FF183B56"/>
      <x:name val="Carlito"/>
    </x:font>
    <x:font>
      <x:b/>
      <x:sz val="11"/>
      <x:color rgb="FF183B56"/>
      <x:name val="Carlito"/>
    </x:font>
    <x:font>
      <x:b/>
      <x:sz val="10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DEAE5"/>
      </x:patternFill>
    </x:fill>
    <x:fill>
      <x:patternFill patternType="solid">
        <x:fgColor rgb="FF127A5A"/>
      </x:patternFill>
    </x:fill>
    <x:fill>
      <x:patternFill patternType="solid">
        <x:fgColor rgb="FFE9F7F1"/>
      </x:patternFill>
    </x:fill>
    <x:fill>
      <x:patternFill patternType="solid">
        <x:fgColor rgb="FFF4F7F6"/>
      </x:patternFill>
    </x:fill>
    <x:fill>
      <x:patternFill patternType="solid">
        <x:fgColor rgb="FFEDF3FF"/>
      </x:patternFill>
    </x:fill>
    <x:fill>
      <x:patternFill patternType="solid">
        <x:fgColor rgb="FF2448B8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horizont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7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127A5A"/>
      </x:font>
      <x:fill>
        <x:patternFill patternType="solid">
          <x:bgColor rgb="FFDFF4E8"/>
        </x:patternFill>
      </x:fill>
    </x:dxf>
    <x:dxf>
      <x:font>
        <x:b/>
        <x:color rgb="FFC94747"/>
      </x:font>
      <x:fill>
        <x:patternFill patternType="solid">
          <x:bgColor rgb="FFFFE6E6"/>
        </x:patternFill>
      </x:fill>
    </x:dxf>
    <x:dxf>
      <x:font>
        <x:b/>
        <x:color rgb="FFE98A2E"/>
      </x:font>
      <x:fill>
        <x:patternFill patternType="solid">
          <x:bgColor rgb="FFFFF0DB"/>
        </x:patternFill>
      </x:fill>
    </x:dxf>
    <x:dxf>
      <x:font>
        <x:b/>
        <x:color rgb="FFD5A700"/>
      </x:font>
      <x:fill>
        <x:patternFill patternType="solid">
          <x:bgColor rgb="FFFFF8CC"/>
        </x:patternFill>
      </x:fill>
    </x:dxf>
    <x:dxf>
      <x:font>
        <x:b/>
        <x:color rgb="FF183B56"/>
      </x:font>
      <x:fill>
        <x:patternFill patternType="solid">
          <x:bgColor rgb="FFEAF2FF"/>
        </x:patternFill>
      </x:fill>
    </x:dxf>
    <x:dxf>
      <x:font>
        <x:b/>
        <x:color rgb="FF183B56"/>
      </x:font>
      <x:fill>
        <x:patternFill patternType="solid">
          <x:bgColor rgb="FFE3F6ED"/>
        </x:patternFill>
      </x:fill>
    </x:dxf>
    <x:dxf>
      <x:font>
        <x:b/>
        <x:color rgb="FF183B56"/>
      </x:font>
      <x:fill>
        <x:patternFill patternType="solid">
          <x:bgColor rgb="FFFFF0DB"/>
        </x:patternFill>
      </x:fill>
    </x:dxf>
    <x:dxf>
      <x:font>
        <x:b/>
        <x:color rgb="FF183B56"/>
      </x:font>
      <x:fill>
        <x:patternFill patternType="solid">
          <x:bgColor rgb="FFFFE6E6"/>
        </x:patternFill>
      </x:fill>
    </x:dxf>
    <x:dxf>
      <x:font>
        <x:b/>
        <x:color rgb="FF127A5A"/>
      </x:font>
      <x:fill>
        <x:patternFill patternType="solid">
          <x:bgColor rgb="FFDFF4E8"/>
        </x:patternFill>
      </x:fill>
    </x:dxf>
    <x:dxf>
      <x:font>
        <x:b/>
        <x:color rgb="FFE98A2E"/>
      </x:font>
      <x:fill>
        <x:patternFill patternType="solid">
          <x:bgColor rgb="FFFFF0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fdcc6c32440c5" /><Relationship Type="http://schemas.openxmlformats.org/officeDocument/2006/relationships/theme" Target="/xl/theme/theme1.xml" Id="R1c506f66ad784626" /><Relationship Type="http://schemas.openxmlformats.org/officeDocument/2006/relationships/sharedStrings" Target="/xl/sharedStrings.xml" Id="Rc8deb945d6b34edb" /><Relationship Type="http://schemas.openxmlformats.org/officeDocument/2006/relationships/worksheet" Target="/xl/worksheets/sheet1.xml" Id="R4544988e2db9494f" /><Relationship Type="http://schemas.openxmlformats.org/officeDocument/2006/relationships/worksheet" Target="/xl/worksheets/sheet2.xml" Id="R15366965a1c044f4" /><Relationship Type="http://schemas.openxmlformats.org/officeDocument/2006/relationships/worksheet" Target="/xl/worksheets/sheet3.xml" Id="R7e18aa0ceb6642e2" /><Relationship Type="http://schemas.openxmlformats.org/officeDocument/2006/relationships/worksheet" Target="/xl/worksheets/sheet4.xml" Id="R8dfd0bac14de427c" /><Relationship Type="http://schemas.openxmlformats.org/officeDocument/2006/relationships/worksheet" Target="/xl/worksheets/sheet5.xml" Id="R33208fd2c8284b1a" /><Relationship Type="http://schemas.openxmlformats.org/officeDocument/2006/relationships/worksheet" Target="/xl/worksheets/sheet6.xml" Id="R82fedc501ef840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bc01cea0004a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대분류별 요구사항 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요구사항 수</c:v>
          </c:tx>
          <c:cat>
            <c:strRef>
              <c:f>'PRD_요약'!$A$30:$A$35</c:f>
              <c:strCache>
                <c:ptCount val="0"/>
              </c:strCache>
            </c:strRef>
          </c:cat>
          <c:val>
            <c:numRef>
              <c:f>'PRD_요약'!$B$30:$B$35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27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bc01cea0004a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alRequirements" displayName="FunctionalRequirements" ref="A2:J29" headerRowCount="1">
  <x:tableColumns count="10">
    <x:tableColumn id="1" name="요구사항 ID"/>
    <x:tableColumn id="2" name="대분류"/>
    <x:tableColumn id="3" name="사용자"/>
    <x:tableColumn id="4" name="기능명"/>
    <x:tableColumn id="5" name="상세 요구사항"/>
    <x:tableColumn id="6" name="우선순위"/>
    <x:tableColumn id="7" name="관련 API"/>
    <x:tableColumn id="8" name="완료 기준"/>
    <x:tableColumn id="9" name="상태"/>
    <x:tableColumn id="10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ScreenFlows" displayName="ScreenFlows" ref="A2:I7" headerRowCount="1">
  <x:tableColumns count="9">
    <x:tableColumn id="1" name="화면 ID"/>
    <x:tableColumn id="2" name="화면명"/>
    <x:tableColumn id="3" name="사용자"/>
    <x:tableColumn id="4" name="진입 조건"/>
    <x:tableColumn id="5" name="주요 UI"/>
    <x:tableColumn id="6" name="주요 동작"/>
    <x:tableColumn id="7" name="연동 API"/>
    <x:tableColumn id="8" name="성공 흐름"/>
    <x:tableColumn id="9" name="예외 흐름"/>
  </x:tableColumns>
  <x:tableStyleInfo name="TableStyleMedium2" showRowStripes="1"/>
</x:table>
</file>

<file path=xl/tables/table3.xml><?xml version="1.0" encoding="utf-8"?>
<x:table xmlns:x="http://schemas.openxmlformats.org/spreadsheetml/2006/main" id="3" name="ApiSpecifications" displayName="ApiSpecifications" ref="A2:J19" headerRowCount="1">
  <x:tableColumns count="10">
    <x:tableColumn id="1" name="API ID"/>
    <x:tableColumn id="2" name="Method"/>
    <x:tableColumn id="3" name="Path"/>
    <x:tableColumn id="4" name="사용자"/>
    <x:tableColumn id="5" name="기능"/>
    <x:tableColumn id="6" name="인증"/>
    <x:tableColumn id="7" name="요청/쿼리"/>
    <x:tableColumn id="8" name="성공 응답"/>
    <x:tableColumn id="9" name="주요 오류"/>
    <x:tableColumn id="10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DataDictionary" displayName="DataDictionary" ref="A2:J33" headerRowCount="1">
  <x:tableColumns count="10">
    <x:tableColumn id="1" name="논리 엔터티"/>
    <x:tableColumn id="2" name="JSON 경로"/>
    <x:tableColumn id="3" name="필드명"/>
    <x:tableColumn id="4" name="타입"/>
    <x:tableColumn id="5" name="키/관계"/>
    <x:tableColumn id="6" name="필수"/>
    <x:tableColumn id="7" name="설명"/>
    <x:tableColumn id="8" name="검증/규칙"/>
    <x:tableColumn id="9" name="예시"/>
    <x:tableColumn id="10" name="저장 여부"/>
  </x:tableColumns>
  <x:tableStyleInfo name="TableStyleMedium2" showRowStripes="1"/>
</x:table>
</file>

<file path=xl/tables/table5.xml><?xml version="1.0" encoding="utf-8"?>
<x:table xmlns:x="http://schemas.openxmlformats.org/spreadsheetml/2006/main" id="5" name="NonFunctionalRequirements" displayName="NonFunctionalRequirements" ref="A2:H14" headerRowCount="1">
  <x:tableColumns count="8">
    <x:tableColumn id="1" name="NFR ID"/>
    <x:tableColumn id="2" name="분류"/>
    <x:tableColumn id="3" name="요구사항"/>
    <x:tableColumn id="4" name="목표/기준"/>
    <x:tableColumn id="5" name="구현 방식"/>
    <x:tableColumn id="6" name="검증 방법"/>
    <x:tableColumn id="7" name="상태"/>
    <x:tableColumn id="8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a751b4b8a34a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9a04e3432b49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787733ad8d49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ad6be5ffee46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e0740f49f640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997e00351d47c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51.1999969482422" hidden="0" customHeight="1">
      <x:c r="A1" s="80" t="str">
        <x:v>Health Care REST Web - Product Requirements Document</x:v>
      </x:c>
      <x:c r="B1" s="80"/>
      <x:c r="C1" s="80"/>
      <x:c r="D1" s="80"/>
      <x:c r="E1" s="80"/>
      <x:c r="F1" s="80"/>
      <x:c r="G1" s="80"/>
      <x:c r="H1" s="80"/>
      <x:c r="I1" s="80"/>
      <x:c r="J1" s="80"/>
    </x:row>
    <x:row r="2" ht="72" hidden="0" customHeight="1">
      <x:c r="A2" s="81" t="str">
        <x:v>HTML/CSS/JavaScript + Flask REST API + JSON 파일 저장 + Docker/Nginx 기반 건강 측정 기록 서비스</x:v>
      </x:c>
      <x:c r="B2" s="81"/>
      <x:c r="C2" s="81"/>
      <x:c r="D2" s="81"/>
      <x:c r="E2" s="81"/>
      <x:c r="F2" s="81"/>
      <x:c r="G2" s="81"/>
      <x:c r="H2" s="81"/>
      <x:c r="I2" s="81"/>
      <x:c r="J2" s="81"/>
    </x:row>
    <x:row r="3" ht="15" hidden="0" customHeight="1">
      <x:c r="A3" s="82"/>
      <x:c r="B3" s="82"/>
      <x:c r="C3" s="82"/>
      <x:c r="D3" s="82"/>
      <x:c r="E3" s="82"/>
      <x:c r="F3" s="82"/>
      <x:c r="G3" s="82"/>
      <x:c r="H3" s="82"/>
      <x:c r="I3" s="82"/>
      <x:c r="J3" s="82"/>
    </x:row>
    <x:row r="4" ht="15" hidden="0" customHeight="1">
      <x:c r="A4" s="83" t="str">
        <x:v>전체 요구사항</x:v>
      </x:c>
      <x:c r="B4" s="83" t="str">
        <x:v>전체 요구사항</x:v>
      </x:c>
      <x:c r="C4" s="83" t="str">
        <x:v>구현 완료</x:v>
      </x:c>
      <x:c r="D4" s="83" t="str">
        <x:v>구현 완료</x:v>
      </x:c>
      <x:c r="E4" s="83" t="str">
        <x:v>REST API</x:v>
      </x:c>
      <x:c r="F4" s="83" t="str">
        <x:v>REST API</x:v>
      </x:c>
      <x:c r="G4" s="83" t="str">
        <x:v>핵심 사용자</x:v>
      </x:c>
      <x:c r="H4" s="83" t="str">
        <x:v>핵심 사용자</x:v>
      </x:c>
      <x:c r="I4" s="82"/>
      <x:c r="J4" s="82"/>
    </x:row>
    <x:row r="5" ht="21.600000381469727" hidden="0" customHeight="1">
      <x:c r="A5" s="84" t="n">
        <x:f>COUNTA('기능_요구사항'!A3:A100)</x:f>
        <x:v>27</x:v>
      </x:c>
      <x:c r="B5" s="84"/>
      <x:c r="C5" s="84" t="n">
        <x:f>COUNTIF('기능_요구사항'!I3:I100,"구현 완료")</x:f>
        <x:v>27</x:v>
      </x:c>
      <x:c r="D5" s="84"/>
      <x:c r="E5" s="84" t="n">
        <x:f>COUNTA('API_명세'!A3:A100)</x:f>
        <x:v>17</x:v>
      </x:c>
      <x:c r="F5" s="84"/>
      <x:c r="G5" s="84" t="n">
        <x:v>2</x:v>
      </x:c>
      <x:c r="H5" s="84"/>
      <x:c r="I5" s="82"/>
      <x:c r="J5" s="82"/>
    </x:row>
    <x:row r="6" ht="15" hidden="0" customHeight="1">
      <x:c r="A6" s="82"/>
      <x:c r="B6" s="82"/>
      <x:c r="C6" s="82"/>
      <x:c r="D6" s="82"/>
      <x:c r="E6" s="82"/>
      <x:c r="F6" s="82"/>
      <x:c r="G6" s="82"/>
      <x:c r="H6" s="82"/>
      <x:c r="I6" s="82"/>
      <x:c r="J6" s="82"/>
    </x:row>
    <x:row r="7" ht="15" hidden="0" customHeight="1">
      <x:c r="A7" s="85" t="str">
        <x:v>1. 제품 개요</x:v>
      </x:c>
      <x:c r="B7" s="85"/>
      <x:c r="C7" s="85"/>
      <x:c r="D7" s="85"/>
      <x:c r="E7" s="85"/>
      <x:c r="F7" s="85"/>
      <x:c r="G7" s="85"/>
      <x:c r="H7" s="85"/>
      <x:c r="I7" s="85"/>
      <x:c r="J7" s="85"/>
    </x:row>
    <x:row r="8" ht="15" hidden="0" customHeight="1">
      <x:c r="A8" s="44" t="str">
        <x:v>문서 버전</x:v>
      </x:c>
      <x:c r="B8" s="38" t="str">
        <x:v>v1.0</x:v>
      </x:c>
      <x:c r="C8" s="44" t="str">
        <x:v>작성 기준일</x:v>
      </x:c>
      <x:c r="D8" s="38" t="str">
        <x:v>2026-07-24</x:v>
      </x:c>
      <x:c r="E8" s="44" t="str">
        <x:v>프로젝트 상태</x:v>
      </x:c>
      <x:c r="F8" s="38" t="str">
        <x:v>구현 완료</x:v>
      </x:c>
      <x:c r="G8" s="44" t="str">
        <x:v>배포 대상</x:v>
      </x:c>
      <x:c r="H8" s="38" t="str">
        <x:v>Docker / AWS Lightsail</x:v>
      </x:c>
      <x:c r="I8" s="82"/>
      <x:c r="J8" s="82"/>
    </x:row>
    <x:row r="9" ht="15" hidden="0" customHeight="1">
      <x:c r="A9" s="44" t="str">
        <x:v>제품명</x:v>
      </x:c>
      <x:c r="B9" s="38" t="str">
        <x:v>Health Care REST Web</x:v>
      </x:c>
      <x:c r="C9" s="44" t="str">
        <x:v>저장 방식</x:v>
      </x:c>
      <x:c r="D9" s="38" t="str">
        <x:v>data.json</x:v>
      </x:c>
      <x:c r="E9" s="44" t="str">
        <x:v>백엔드</x:v>
      </x:c>
      <x:c r="F9" s="38" t="str">
        <x:v>Python Flask</x:v>
      </x:c>
      <x:c r="G9" s="44" t="str">
        <x:v>프론트엔드</x:v>
      </x:c>
      <x:c r="H9" s="38" t="str">
        <x:v>HTML/CSS/JavaScript</x:v>
      </x:c>
      <x:c r="I9" s="82"/>
      <x:c r="J9" s="82"/>
    </x:row>
    <x:row r="10" ht="108" hidden="0" customHeight="1">
      <x:c r="A10" s="86" t="str">
        <x:v>문제 정의</x:v>
      </x:c>
      <x:c r="B10" s="86"/>
      <x:c r="C10" s="38" t="str">
        <x:v>개인이 날짜별 건강 측정값을 기록하고 건강 기준에 따라 상태를 확인하기 어렵고, 관리자는 사용자별 기록과 위험 수치를 한 화면에서 관리하기 어렵다.</x:v>
      </x:c>
      <x:c r="D10" s="38"/>
      <x:c r="E10" s="38"/>
      <x:c r="F10" s="38"/>
      <x:c r="G10" s="38"/>
      <x:c r="H10" s="38"/>
      <x:c r="I10" s="38"/>
      <x:c r="J10" s="38"/>
    </x:row>
    <x:row r="11" ht="96" hidden="0" customHeight="1">
      <x:c r="A11" s="86" t="str">
        <x:v>제품 목표</x:v>
      </x:c>
      <x:c r="B11" s="86"/>
      <x:c r="C11" s="38" t="str">
        <x:v>사용자가 건강 측정값을 안전하게 등록·조회·수정·삭제하고, BMI·혈압·공복 혈당 상태와 기간별 평균을 확인할 수 있는 간단한 웹 서비스를 제공한다.</x:v>
      </x:c>
      <x:c r="D11" s="38"/>
      <x:c r="E11" s="38"/>
      <x:c r="F11" s="38"/>
      <x:c r="G11" s="38"/>
      <x:c r="H11" s="38"/>
      <x:c r="I11" s="38"/>
      <x:c r="J11" s="38"/>
    </x:row>
    <x:row r="12" ht="72" hidden="0" customHeight="1">
      <x:c r="A12" s="86" t="str">
        <x:v>핵심 가치</x:v>
      </x:c>
      <x:c r="B12" s="86"/>
      <x:c r="C12" s="38" t="str">
        <x:v>간단한 입력 / 자동 계산 / 위험 경고 / 날짜 검색 / 평균 통계 / 관리자 관리 / 재시작 후 데이터 유지</x:v>
      </x:c>
      <x:c r="D12" s="38"/>
      <x:c r="E12" s="38"/>
      <x:c r="F12" s="38"/>
      <x:c r="G12" s="38"/>
      <x:c r="H12" s="38"/>
      <x:c r="I12" s="38"/>
      <x:c r="J12" s="38"/>
    </x:row>
    <x:row r="13" ht="15" hidden="0" customHeight="1">
      <x:c r="A13" s="82"/>
      <x:c r="B13" s="82"/>
      <x:c r="C13" s="82"/>
      <x:c r="D13" s="82"/>
      <x:c r="E13" s="82"/>
      <x:c r="F13" s="82"/>
      <x:c r="G13" s="82"/>
      <x:c r="H13" s="82"/>
      <x:c r="I13" s="82"/>
      <x:c r="J13" s="82"/>
    </x:row>
    <x:row r="14" ht="26.399999618530273" hidden="0" customHeight="1">
      <x:c r="A14" s="85" t="str">
        <x:v>2. 범위 및 사용자</x:v>
      </x:c>
      <x:c r="B14" s="85"/>
      <x:c r="C14" s="85"/>
      <x:c r="D14" s="85"/>
      <x:c r="E14" s="85"/>
      <x:c r="F14" s="85"/>
      <x:c r="G14" s="85"/>
      <x:c r="H14" s="85"/>
      <x:c r="I14" s="85"/>
      <x:c r="J14" s="85"/>
    </x:row>
    <x:row r="15" ht="15" hidden="0" customHeight="1">
      <x:c r="A15" s="58" t="str">
        <x:v>구분</x:v>
      </x:c>
      <x:c r="B15" s="58" t="str">
        <x:v>내용</x:v>
      </x:c>
      <x:c r="C15" s="58" t="str"/>
      <x:c r="D15" s="58" t="str"/>
      <x:c r="E15" s="58" t="str"/>
      <x:c r="F15" s="58" t="str">
        <x:v>구분</x:v>
      </x:c>
      <x:c r="G15" s="58" t="str">
        <x:v>내용</x:v>
      </x:c>
      <x:c r="H15" s="58" t="str"/>
      <x:c r="I15" s="58" t="str"/>
      <x:c r="J15" s="58" t="str"/>
    </x:row>
    <x:row r="16" ht="15" hidden="0" customHeight="1">
      <x:c r="A16" s="86" t="str">
        <x:v>주요 사용자</x:v>
      </x:c>
      <x:c r="B16" s="38" t="str">
        <x:v>일반 사용자</x:v>
      </x:c>
      <x:c r="C16" s="38" t="str"/>
      <x:c r="D16" s="38" t="str">
        <x:v>관리자</x:v>
      </x:c>
      <x:c r="E16" s="38" t="str"/>
      <x:c r="F16" s="86" t="str">
        <x:v>운영 환경</x:v>
      </x:c>
      <x:c r="G16" s="38" t="str">
        <x:v>Docker</x:v>
      </x:c>
      <x:c r="H16" s="38" t="str"/>
      <x:c r="I16" s="38" t="str">
        <x:v>AWS Lightsail</x:v>
      </x:c>
      <x:c r="J16" s="38" t="str"/>
    </x:row>
    <x:row r="17" ht="84" hidden="0" customHeight="1">
      <x:c r="A17" s="86" t="str">
        <x:v>포함 범위</x:v>
      </x:c>
      <x:c r="B17" s="38" t="str">
        <x:v>회원가입, 로그인/로그아웃, 측정 CRUD, 자동 건강 판정, 날짜 검색, 페이지네이션, 평균 통계, 관리자 조회/삭제</x:v>
      </x:c>
      <x:c r="C17" s="38" t="str"/>
      <x:c r="D17" s="38" t="str"/>
      <x:c r="E17" s="38" t="str"/>
      <x:c r="F17" s="86" t="str">
        <x:v>제외 범위</x:v>
      </x:c>
      <x:c r="G17" s="38" t="str">
        <x:v>의료 진단, 병원 연계, 알림 발송, 관리자 수정, 다중 서버 확장</x:v>
      </x:c>
      <x:c r="H17" s="38" t="str"/>
      <x:c r="I17" s="38" t="str"/>
      <x:c r="J17" s="38" t="str"/>
    </x:row>
    <x:row r="18" ht="48" hidden="0" customHeight="1">
      <x:c r="A18" s="86" t="str">
        <x:v>데이터 보존</x:v>
      </x:c>
      <x:c r="B18" s="38" t="str">
        <x:v>사용자와 측정 기록은 data.json에 저장하여 재시작 후 유지</x:v>
      </x:c>
      <x:c r="C18" s="38" t="str"/>
      <x:c r="D18" s="38" t="str"/>
      <x:c r="E18" s="38" t="str"/>
      <x:c r="F18" s="86" t="str">
        <x:v>세션 정책</x:v>
      </x:c>
      <x:c r="G18" s="38" t="str">
        <x:v>세션은 메모리 저장이며 서버 재시작 시 재로그인 필요</x:v>
      </x:c>
      <x:c r="H18" s="38" t="str"/>
      <x:c r="I18" s="38" t="str"/>
      <x:c r="J18" s="38" t="str"/>
    </x:row>
    <x:row r="19" ht="15" hidden="0" customHeight="1">
      <x:c r="A19" s="82"/>
      <x:c r="B19" s="82"/>
      <x:c r="C19" s="82"/>
      <x:c r="D19" s="82"/>
      <x:c r="E19" s="82"/>
      <x:c r="F19" s="82"/>
      <x:c r="G19" s="82"/>
      <x:c r="H19" s="82"/>
      <x:c r="I19" s="82"/>
      <x:c r="J19" s="82"/>
    </x:row>
    <x:row r="20" ht="26.399999618530273" hidden="0" customHeight="1">
      <x:c r="A20" s="85" t="str">
        <x:v>3. 성공 기준 및 제약</x:v>
      </x:c>
      <x:c r="B20" s="85"/>
      <x:c r="C20" s="85"/>
      <x:c r="D20" s="85"/>
      <x:c r="E20" s="85"/>
      <x:c r="F20" s="85"/>
      <x:c r="G20" s="85"/>
      <x:c r="H20" s="85"/>
      <x:c r="I20" s="85"/>
      <x:c r="J20" s="85"/>
    </x:row>
    <x:row r="21" ht="48" hidden="0" customHeight="1">
      <x:c r="A21" s="86" t="str">
        <x:v>성공 기준</x:v>
      </x:c>
      <x:c r="B21" s="38" t="str">
        <x:v>POST/GET/PUT/DELETE가 역할별 권한에 맞게 동작</x:v>
      </x:c>
      <x:c r="C21" s="38" t="str"/>
      <x:c r="D21" s="38" t="str"/>
      <x:c r="E21" s="38" t="str"/>
      <x:c r="F21" s="86" t="str">
        <x:v>검증 기준</x:v>
      </x:c>
      <x:c r="G21" s="38" t="str">
        <x:v>사용자는 본인 기록만 수정·삭제, 관리자는 전체 조회·삭제</x:v>
      </x:c>
      <x:c r="H21" s="38" t="str"/>
      <x:c r="I21" s="38" t="str"/>
      <x:c r="J21" s="38" t="str"/>
    </x:row>
    <x:row r="22" ht="36" hidden="0" customHeight="1">
      <x:c r="A22" s="86" t="str">
        <x:v>성공 기준</x:v>
      </x:c>
      <x:c r="B22" s="38" t="str">
        <x:v>시작일·종료일 검색과 5건 단위 페이지네이션</x:v>
      </x:c>
      <x:c r="C22" s="38" t="str"/>
      <x:c r="D22" s="38" t="str"/>
      <x:c r="E22" s="38" t="str"/>
      <x:c r="F22" s="86" t="str">
        <x:v>검증 기준</x:v>
      </x:c>
      <x:c r="G22" s="38" t="str">
        <x:v>역전 날짜 거부, page_size 최대 50</x:v>
      </x:c>
      <x:c r="H22" s="38" t="str"/>
      <x:c r="I22" s="38" t="str"/>
      <x:c r="J22" s="38" t="str"/>
    </x:row>
    <x:row r="23" ht="24" hidden="0" customHeight="1">
      <x:c r="A23" s="86" t="str">
        <x:v>성공 기준</x:v>
      </x:c>
      <x:c r="B23" s="38" t="str">
        <x:v>BMI·혈압·공복 혈당 계산 및 경고 표시</x:v>
      </x:c>
      <x:c r="C23" s="38" t="str"/>
      <x:c r="D23" s="38" t="str"/>
      <x:c r="E23" s="38" t="str"/>
      <x:c r="F23" s="86" t="str">
        <x:v>검증 기준</x:v>
      </x:c>
      <x:c r="G23" s="38" t="str">
        <x:v>기준값 경계 테스트 및 상세 색상 표시</x:v>
      </x:c>
      <x:c r="H23" s="38" t="str"/>
      <x:c r="I23" s="38" t="str"/>
      <x:c r="J23" s="38" t="str"/>
    </x:row>
    <x:row r="24" ht="36" hidden="0" customHeight="1">
      <x:c r="A24" s="86" t="str">
        <x:v>성공 기준</x:v>
      </x:c>
      <x:c r="B24" s="38" t="str">
        <x:v>측정 등록·수정·삭제 후 평균 자동 갱신</x:v>
      </x:c>
      <x:c r="C24" s="38" t="str"/>
      <x:c r="D24" s="38" t="str"/>
      <x:c r="E24" s="38" t="str"/>
      <x:c r="F24" s="86" t="str">
        <x:v>검증 기준</x:v>
      </x:c>
      <x:c r="G24" s="38" t="str">
        <x:v>키·몸무게·BMI·수축기·이완기·혈당 평균 확인</x:v>
      </x:c>
      <x:c r="H24" s="38" t="str"/>
      <x:c r="I24" s="38" t="str"/>
      <x:c r="J24" s="38" t="str"/>
    </x:row>
    <x:row r="25" ht="36" hidden="0" customHeight="1">
      <x:c r="A25" s="86" t="str">
        <x:v>성공 기준</x:v>
      </x:c>
      <x:c r="B25" s="38" t="str">
        <x:v>Docker 재시작 후 사용자·측정 기록 유지</x:v>
      </x:c>
      <x:c r="C25" s="38" t="str"/>
      <x:c r="D25" s="38" t="str"/>
      <x:c r="E25" s="38" t="str"/>
      <x:c r="F25" s="86" t="str">
        <x:v>검증 기준</x:v>
      </x:c>
      <x:c r="G25" s="38" t="str">
        <x:v>볼륨의 /data/data.json 재로딩</x:v>
      </x:c>
      <x:c r="H25" s="38" t="str"/>
      <x:c r="I25" s="38" t="str"/>
      <x:c r="J25" s="38" t="str"/>
    </x:row>
    <x:row r="26" ht="48" hidden="0" customHeight="1">
      <x:c r="A26" s="86" t="str">
        <x:v>제약 사항</x:v>
      </x:c>
      <x:c r="B26" s="38" t="str">
        <x:v>JSON 파일 동시 쓰기 안전성을 위해 Gunicorn 1 worker + 4 threads</x:v>
      </x:c>
      <x:c r="C26" s="38" t="str"/>
      <x:c r="D26" s="38" t="str"/>
      <x:c r="E26" s="38" t="str"/>
      <x:c r="F26" s="86" t="str">
        <x:v>주의 사항</x:v>
      </x:c>
      <x:c r="G26" s="38" t="str">
        <x:v>대규모 운영 DB가 아닌 과제·시연용 구조</x:v>
      </x:c>
      <x:c r="H26" s="38" t="str"/>
      <x:c r="I26" s="38" t="str"/>
      <x:c r="J26" s="38" t="str"/>
    </x:row>
    <x:row r="27" ht="15" hidden="0" customHeight="1">
      <x:c r="A27" s="82"/>
      <x:c r="B27" s="82"/>
      <x:c r="C27" s="82"/>
      <x:c r="D27" s="82"/>
      <x:c r="E27" s="82"/>
      <x:c r="F27" s="82"/>
      <x:c r="G27" s="82"/>
      <x:c r="H27" s="82"/>
      <x:c r="I27" s="82"/>
      <x:c r="J27" s="82"/>
    </x:row>
    <x:row r="28" ht="15" hidden="0" customHeight="1">
      <x:c r="A28" s="85" t="str">
        <x:v>요구사항 분포</x:v>
      </x:c>
      <x:c r="B28" s="85"/>
      <x:c r="C28" s="85"/>
      <x:c r="D28" s="85"/>
      <x:c r="E28" s="82"/>
      <x:c r="F28" s="82"/>
      <x:c r="G28" s="82"/>
      <x:c r="H28" s="82"/>
      <x:c r="I28" s="82"/>
      <x:c r="J28" s="82"/>
    </x:row>
    <x:row r="29" ht="15" hidden="0" customHeight="1">
      <x:c r="A29" s="68" t="str">
        <x:v>대분류</x:v>
      </x:c>
      <x:c r="B29" s="68" t="str">
        <x:v>요구사항 수</x:v>
      </x:c>
      <x:c r="C29" s="82"/>
      <x:c r="D29" s="82"/>
      <x:c r="E29" s="82"/>
      <x:c r="F29" s="82"/>
      <x:c r="G29" s="82"/>
      <x:c r="H29" s="82"/>
      <x:c r="I29" s="82"/>
      <x:c r="J29" s="82"/>
    </x:row>
    <x:row r="30" ht="15" hidden="0" customHeight="1">
      <x:c r="A30" s="75" t="str">
        <x:v>회원/인증</x:v>
      </x:c>
      <x:c r="B30" s="75" t="n">
        <x:f>COUNTIF('기능_요구사항'!B3:B100,"회원/인증")</x:f>
        <x:v>4</x:v>
      </x:c>
      <x:c r="C30" s="82"/>
      <x:c r="D30" s="82"/>
      <x:c r="E30" s="82"/>
      <x:c r="F30" s="82"/>
      <x:c r="G30" s="82"/>
      <x:c r="H30" s="82"/>
      <x:c r="I30" s="82"/>
      <x:c r="J30" s="82"/>
    </x:row>
    <x:row r="31" ht="15" hidden="0" customHeight="1">
      <x:c r="A31" s="75" t="str">
        <x:v>측정 기록</x:v>
      </x:c>
      <x:c r="B31" s="75" t="n">
        <x:f>COUNTIF('기능_요구사항'!B3:B100,"측정 기록")</x:f>
        <x:v>6</x:v>
      </x:c>
      <x:c r="C31" s="82"/>
      <x:c r="D31" s="82"/>
      <x:c r="E31" s="82"/>
      <x:c r="F31" s="82"/>
      <x:c r="G31" s="82"/>
      <x:c r="H31" s="82"/>
      <x:c r="I31" s="82"/>
      <x:c r="J31" s="82"/>
    </x:row>
    <x:row r="32" ht="15" hidden="0" customHeight="1">
      <x:c r="A32" s="75" t="str">
        <x:v>건강 계산</x:v>
      </x:c>
      <x:c r="B32" s="75" t="n">
        <x:f>COUNTIF('기능_요구사항'!B3:B100,"건강 계산")</x:f>
        <x:v>4</x:v>
      </x:c>
      <x:c r="C32" s="82"/>
      <x:c r="D32" s="82"/>
      <x:c r="E32" s="82"/>
      <x:c r="F32" s="82"/>
      <x:c r="G32" s="82"/>
      <x:c r="H32" s="82"/>
      <x:c r="I32" s="82"/>
      <x:c r="J32" s="82"/>
    </x:row>
    <x:row r="33" ht="15" hidden="0" customHeight="1">
      <x:c r="A33" s="75" t="str">
        <x:v>검색/통계</x:v>
      </x:c>
      <x:c r="B33" s="75" t="n">
        <x:f>COUNTIF('기능_요구사항'!B3:B100,"검색/통계")</x:f>
        <x:v>4</x:v>
      </x:c>
      <x:c r="C33" s="82"/>
      <x:c r="D33" s="82"/>
      <x:c r="E33" s="82"/>
      <x:c r="F33" s="82"/>
      <x:c r="G33" s="82"/>
      <x:c r="H33" s="82"/>
      <x:c r="I33" s="82"/>
      <x:c r="J33" s="82"/>
    </x:row>
    <x:row r="34" ht="15" hidden="0" customHeight="1">
      <x:c r="A34" s="75" t="str">
        <x:v>관리자</x:v>
      </x:c>
      <x:c r="B34" s="75" t="n">
        <x:f>COUNTIF('기능_요구사항'!B3:B100,"관리자")</x:f>
        <x:v>4</x:v>
      </x:c>
      <x:c r="C34" s="82"/>
      <x:c r="D34" s="82"/>
      <x:c r="E34" s="82"/>
      <x:c r="F34" s="82"/>
      <x:c r="G34" s="82"/>
      <x:c r="H34" s="82"/>
      <x:c r="I34" s="82"/>
      <x:c r="J34" s="82"/>
    </x:row>
    <x:row r="35" ht="15" hidden="0" customHeight="1">
      <x:c r="A35" s="75" t="str">
        <x:v>저장/배포</x:v>
      </x:c>
      <x:c r="B35" s="75" t="n">
        <x:f>COUNTIF('기능_요구사항'!B3:B100,"저장/배포")</x:f>
        <x:v>5</x:v>
      </x:c>
      <x:c r="C35" s="82"/>
      <x:c r="D35" s="82"/>
      <x:c r="E35" s="82"/>
      <x:c r="F35" s="82"/>
      <x:c r="G35" s="82"/>
      <x:c r="H35" s="82"/>
      <x:c r="I35" s="82"/>
      <x:c r="J35" s="82"/>
    </x:row>
    <x:row r="36" ht="15" hidden="0" customHeight="1">
      <x:c r="A36" s="82"/>
      <x:c r="B36" s="82"/>
      <x:c r="C36" s="82"/>
      <x:c r="D36" s="82"/>
      <x:c r="E36" s="82"/>
      <x:c r="F36" s="82"/>
      <x:c r="G36" s="82"/>
      <x:c r="H36" s="82"/>
      <x:c r="I36" s="82"/>
      <x:c r="J36" s="82"/>
    </x:row>
    <x:row r="37" ht="15" hidden="0" customHeight="1">
      <x:c r="A37" s="82"/>
      <x:c r="B37" s="82"/>
      <x:c r="C37" s="82"/>
      <x:c r="D37" s="82"/>
      <x:c r="E37" s="82"/>
      <x:c r="F37" s="82"/>
      <x:c r="G37" s="82"/>
      <x:c r="H37" s="82"/>
      <x:c r="I37" s="82"/>
      <x:c r="J37" s="82"/>
    </x:row>
    <x:row r="38" ht="15" hidden="0" customHeight="1">
      <x:c r="A38" s="82"/>
      <x:c r="B38" s="82"/>
      <x:c r="C38" s="82"/>
      <x:c r="D38" s="82"/>
      <x:c r="E38" s="82"/>
      <x:c r="F38" s="82"/>
      <x:c r="G38" s="82"/>
      <x:c r="H38" s="82"/>
      <x:c r="I38" s="82"/>
      <x:c r="J38" s="82"/>
    </x:row>
    <x:row r="39" ht="15" hidden="0" customHeight="1">
      <x:c r="A39" s="82"/>
      <x:c r="B39" s="82"/>
      <x:c r="C39" s="82"/>
      <x:c r="D39" s="82"/>
      <x:c r="E39" s="82"/>
      <x:c r="F39" s="82"/>
      <x:c r="G39" s="82"/>
      <x:c r="H39" s="82"/>
      <x:c r="I39" s="82"/>
      <x:c r="J39" s="82"/>
    </x:row>
    <x:row r="40" ht="15" hidden="0" customHeight="1">
      <x:c r="A40" s="82"/>
      <x:c r="B40" s="82"/>
      <x:c r="C40" s="82"/>
      <x:c r="D40" s="82"/>
      <x:c r="E40" s="82"/>
      <x:c r="F40" s="82"/>
      <x:c r="G40" s="82"/>
      <x:c r="H40" s="82"/>
      <x:c r="I40" s="82"/>
      <x:c r="J40" s="82"/>
    </x:row>
    <x:row r="41" ht="15" hidden="0" customHeight="1">
      <x:c r="A41" s="82"/>
      <x:c r="B41" s="82"/>
      <x:c r="C41" s="82"/>
      <x:c r="D41" s="82"/>
      <x:c r="E41" s="82"/>
      <x:c r="F41" s="82"/>
      <x:c r="G41" s="82"/>
      <x:c r="H41" s="82"/>
      <x:c r="I41" s="82"/>
      <x:c r="J41" s="82"/>
    </x:row>
    <x:row r="42" ht="15" hidden="0" customHeight="1">
      <x:c r="A42" s="82"/>
      <x:c r="B42" s="82"/>
      <x:c r="C42" s="82"/>
      <x:c r="D42" s="82"/>
      <x:c r="E42" s="82"/>
      <x:c r="F42" s="82"/>
      <x:c r="G42" s="82"/>
      <x:c r="H42" s="82"/>
      <x:c r="I42" s="82"/>
      <x:c r="J42" s="82"/>
    </x:row>
    <x:row r="43" ht="15" hidden="0" customHeight="1">
      <x:c r="A43" s="82"/>
      <x:c r="B43" s="82"/>
      <x:c r="C43" s="82"/>
      <x:c r="D43" s="82"/>
      <x:c r="E43" s="82"/>
      <x:c r="F43" s="82"/>
      <x:c r="G43" s="82"/>
      <x:c r="H43" s="82"/>
      <x:c r="I43" s="82"/>
      <x:c r="J43" s="82"/>
    </x:row>
    <x:row r="44" ht="15" hidden="0" customHeight="1">
      <x:c r="A44" s="82"/>
      <x:c r="B44" s="82"/>
      <x:c r="C44" s="82"/>
      <x:c r="D44" s="82"/>
      <x:c r="E44" s="82"/>
      <x:c r="F44" s="82"/>
      <x:c r="G44" s="82"/>
      <x:c r="H44" s="82"/>
      <x:c r="I44" s="82"/>
      <x:c r="J44" s="82"/>
    </x:row>
    <x:row r="45" ht="15" hidden="0" customHeight="1">
      <x:c r="A45" s="82"/>
      <x:c r="B45" s="82"/>
      <x:c r="C45" s="82"/>
      <x:c r="D45" s="82"/>
      <x:c r="E45" s="82"/>
      <x:c r="F45" s="82"/>
      <x:c r="G45" s="82"/>
      <x:c r="H45" s="82"/>
      <x:c r="I45" s="82"/>
      <x:c r="J45" s="82"/>
    </x:row>
    <x:row r="46" ht="15" hidden="0" customHeight="1">
      <x:c r="A46" s="82"/>
      <x:c r="B46" s="82"/>
      <x:c r="C46" s="82"/>
      <x:c r="D46" s="82"/>
      <x:c r="E46" s="82"/>
      <x:c r="F46" s="82"/>
      <x:c r="G46" s="82"/>
      <x:c r="H46" s="82"/>
      <x:c r="I46" s="82"/>
      <x:c r="J46" s="82"/>
    </x:row>
    <x:row r="47" ht="15" hidden="0" customHeight="1">
      <x:c r="A47" s="82"/>
      <x:c r="B47" s="82"/>
      <x:c r="C47" s="82"/>
      <x:c r="D47" s="82"/>
      <x:c r="E47" s="82"/>
      <x:c r="F47" s="82"/>
      <x:c r="G47" s="82"/>
      <x:c r="H47" s="82"/>
      <x:c r="I47" s="82"/>
      <x:c r="J47" s="82"/>
    </x:row>
    <x:row r="48" ht="15" hidden="0" customHeight="1">
      <x:c r="A48" s="82"/>
      <x:c r="B48" s="82"/>
      <x:c r="C48" s="82"/>
      <x:c r="D48" s="82"/>
      <x:c r="E48" s="82"/>
      <x:c r="F48" s="82"/>
      <x:c r="G48" s="82"/>
      <x:c r="H48" s="82"/>
      <x:c r="I48" s="82"/>
      <x:c r="J48" s="82"/>
    </x:row>
    <x:row r="49" ht="15" hidden="0" customHeight="1">
      <x:c r="A49" s="82"/>
      <x:c r="B49" s="82"/>
      <x:c r="C49" s="82"/>
      <x:c r="D49" s="82"/>
      <x:c r="E49" s="82"/>
      <x:c r="F49" s="82"/>
      <x:c r="G49" s="82"/>
      <x:c r="H49" s="82"/>
      <x:c r="I49" s="82"/>
      <x:c r="J49" s="82"/>
    </x:row>
    <x:row r="50" ht="15" hidden="0" customHeight="1">
      <x:c r="A50" s="82"/>
      <x:c r="B50" s="82"/>
      <x:c r="C50" s="82"/>
      <x:c r="D50" s="82"/>
      <x:c r="E50" s="82"/>
      <x:c r="F50" s="82"/>
      <x:c r="G50" s="82"/>
      <x:c r="H50" s="82"/>
      <x:c r="I50" s="82"/>
      <x:c r="J50" s="82"/>
    </x:row>
    <x:row r="51" ht="15" hidden="0" customHeight="1">
      <x:c r="A51" s="82"/>
      <x:c r="B51" s="82"/>
      <x:c r="C51" s="82"/>
      <x:c r="D51" s="82"/>
      <x:c r="E51" s="82"/>
      <x:c r="F51" s="82"/>
      <x:c r="G51" s="82"/>
      <x:c r="H51" s="82"/>
      <x:c r="I51" s="82"/>
      <x:c r="J51" s="82"/>
    </x:row>
    <x:row r="52" ht="15" hidden="0" customHeight="1">
      <x:c r="A52" s="82"/>
      <x:c r="B52" s="82"/>
      <x:c r="C52" s="82"/>
      <x:c r="D52" s="82"/>
      <x:c r="E52" s="82"/>
      <x:c r="F52" s="82"/>
      <x:c r="G52" s="82"/>
      <x:c r="H52" s="82"/>
      <x:c r="I52" s="82"/>
      <x:c r="J52" s="82"/>
    </x:row>
    <x:row r="53" ht="15" hidden="0" customHeight="1">
      <x:c r="A53" s="82"/>
      <x:c r="B53" s="82"/>
      <x:c r="C53" s="82"/>
      <x:c r="D53" s="82"/>
      <x:c r="E53" s="82"/>
      <x:c r="F53" s="82"/>
      <x:c r="G53" s="82"/>
      <x:c r="H53" s="82"/>
      <x:c r="I53" s="82"/>
      <x:c r="J53" s="82"/>
    </x:row>
    <x:row r="54" ht="15" hidden="0" customHeight="1">
      <x:c r="A54" s="82"/>
      <x:c r="B54" s="82"/>
      <x:c r="C54" s="82"/>
      <x:c r="D54" s="82"/>
      <x:c r="E54" s="82"/>
      <x:c r="F54" s="82"/>
      <x:c r="G54" s="82"/>
      <x:c r="H54" s="82"/>
      <x:c r="I54" s="82"/>
      <x:c r="J54" s="82"/>
    </x:row>
    <x:row r="55" ht="15" hidden="0" customHeight="1">
      <x:c r="A55" s="82"/>
      <x:c r="B55" s="82"/>
      <x:c r="C55" s="82"/>
      <x:c r="D55" s="82"/>
      <x:c r="E55" s="82"/>
      <x:c r="F55" s="82"/>
      <x:c r="G55" s="82"/>
      <x:c r="H55" s="82"/>
      <x:c r="I55" s="82"/>
      <x:c r="J55" s="82"/>
    </x:row>
    <x:row r="56" ht="15" hidden="0" customHeight="1">
      <x:c r="A56" s="82"/>
      <x:c r="B56" s="82"/>
      <x:c r="C56" s="82"/>
      <x:c r="D56" s="82"/>
      <x:c r="E56" s="82"/>
      <x:c r="F56" s="82"/>
      <x:c r="G56" s="82"/>
      <x:c r="H56" s="82"/>
      <x:c r="I56" s="82"/>
      <x:c r="J56" s="82"/>
    </x:row>
    <x:row r="57" ht="15" hidden="0" customHeight="1">
      <x:c r="A57" s="82"/>
      <x:c r="B57" s="82"/>
      <x:c r="C57" s="82"/>
      <x:c r="D57" s="82"/>
      <x:c r="E57" s="82"/>
      <x:c r="F57" s="82"/>
      <x:c r="G57" s="82"/>
      <x:c r="H57" s="82"/>
      <x:c r="I57" s="82"/>
      <x:c r="J57" s="82"/>
    </x:row>
    <x:row r="58" ht="15" hidden="0" customHeight="1">
      <x:c r="A58" s="82"/>
      <x:c r="B58" s="82"/>
      <x:c r="C58" s="82"/>
      <x:c r="D58" s="82"/>
      <x:c r="E58" s="82"/>
      <x:c r="F58" s="82"/>
      <x:c r="G58" s="82"/>
      <x:c r="H58" s="82"/>
      <x:c r="I58" s="82"/>
      <x:c r="J58" s="82"/>
    </x:row>
    <x:row r="59" ht="15" hidden="0" customHeight="1">
      <x:c r="A59" s="82"/>
      <x:c r="B59" s="82"/>
      <x:c r="C59" s="82"/>
      <x:c r="D59" s="82"/>
      <x:c r="E59" s="82"/>
      <x:c r="F59" s="82"/>
      <x:c r="G59" s="82"/>
      <x:c r="H59" s="82"/>
      <x:c r="I59" s="82"/>
      <x:c r="J59" s="82"/>
    </x:row>
    <x:row r="60" ht="15" hidden="0" customHeight="1">
      <x:c r="A60" s="82"/>
      <x:c r="B60" s="82"/>
      <x:c r="C60" s="82"/>
      <x:c r="D60" s="82"/>
      <x:c r="E60" s="82"/>
      <x:c r="F60" s="82"/>
      <x:c r="G60" s="82"/>
      <x:c r="H60" s="82"/>
      <x:c r="I60" s="82"/>
      <x:c r="J60" s="82"/>
    </x:row>
    <x:row r="61" ht="15" hidden="0" customHeight="1">
      <x:c r="A61" s="82"/>
      <x:c r="B61" s="82"/>
      <x:c r="C61" s="82"/>
      <x:c r="D61" s="82"/>
      <x:c r="E61" s="82"/>
      <x:c r="F61" s="82"/>
      <x:c r="G61" s="82"/>
      <x:c r="H61" s="82"/>
      <x:c r="I61" s="82"/>
      <x:c r="J61" s="82"/>
    </x:row>
    <x:row r="62" ht="15" hidden="0" customHeight="1">
      <x:c r="A62" s="82"/>
      <x:c r="B62" s="82"/>
      <x:c r="C62" s="82"/>
      <x:c r="D62" s="82"/>
      <x:c r="E62" s="82"/>
      <x:c r="F62" s="82"/>
      <x:c r="G62" s="82"/>
      <x:c r="H62" s="82"/>
      <x:c r="I62" s="82"/>
      <x:c r="J62" s="82"/>
    </x:row>
    <x:row r="63" ht="15" hidden="0" customHeight="1">
      <x:c r="A63" s="82"/>
      <x:c r="B63" s="82"/>
      <x:c r="C63" s="82"/>
      <x:c r="D63" s="82"/>
      <x:c r="E63" s="82"/>
      <x:c r="F63" s="82"/>
      <x:c r="G63" s="82"/>
      <x:c r="H63" s="82"/>
      <x:c r="I63" s="82"/>
      <x:c r="J63" s="82"/>
    </x:row>
    <x:row r="64" ht="15" hidden="0" customHeight="1">
      <x:c r="A64" s="82"/>
      <x:c r="B64" s="82"/>
      <x:c r="C64" s="82"/>
      <x:c r="D64" s="82"/>
      <x:c r="E64" s="82"/>
      <x:c r="F64" s="82"/>
      <x:c r="G64" s="82"/>
      <x:c r="H64" s="82"/>
      <x:c r="I64" s="82"/>
      <x:c r="J64" s="82"/>
    </x:row>
    <x:row r="65" ht="15" hidden="0" customHeight="1">
      <x:c r="A65" s="82"/>
      <x:c r="B65" s="82"/>
      <x:c r="C65" s="82"/>
      <x:c r="D65" s="82"/>
      <x:c r="E65" s="82"/>
      <x:c r="F65" s="82"/>
      <x:c r="G65" s="82"/>
      <x:c r="H65" s="82"/>
      <x:c r="I65" s="82"/>
      <x:c r="J65" s="82"/>
    </x:row>
    <x:row r="66" ht="15" hidden="0" customHeight="1">
      <x:c r="A66" s="82"/>
      <x:c r="B66" s="82"/>
      <x:c r="C66" s="82"/>
      <x:c r="D66" s="82"/>
      <x:c r="E66" s="82"/>
      <x:c r="F66" s="82"/>
      <x:c r="G66" s="82"/>
      <x:c r="H66" s="82"/>
      <x:c r="I66" s="82"/>
      <x:c r="J66" s="82"/>
    </x:row>
    <x:row r="67" ht="15" hidden="0" customHeight="1">
      <x:c r="A67" s="82"/>
      <x:c r="B67" s="82"/>
      <x:c r="C67" s="82"/>
      <x:c r="D67" s="82"/>
      <x:c r="E67" s="82"/>
      <x:c r="F67" s="82"/>
      <x:c r="G67" s="82"/>
      <x:c r="H67" s="82"/>
      <x:c r="I67" s="82"/>
      <x:c r="J67" s="82"/>
    </x:row>
    <x:row r="68" ht="15" hidden="0" customHeight="1">
      <x:c r="A68" s="82"/>
      <x:c r="B68" s="82"/>
      <x:c r="C68" s="82"/>
      <x:c r="D68" s="82"/>
      <x:c r="E68" s="82"/>
      <x:c r="F68" s="82"/>
      <x:c r="G68" s="82"/>
      <x:c r="H68" s="82"/>
      <x:c r="I68" s="82"/>
      <x:c r="J68" s="82"/>
    </x:row>
    <x:row r="69" ht="15" hidden="0" customHeight="1">
      <x:c r="A69" s="82"/>
      <x:c r="B69" s="82"/>
      <x:c r="C69" s="82"/>
      <x:c r="D69" s="82"/>
      <x:c r="E69" s="82"/>
      <x:c r="F69" s="82"/>
      <x:c r="G69" s="82"/>
      <x:c r="H69" s="82"/>
      <x:c r="I69" s="82"/>
      <x:c r="J69" s="82"/>
    </x:row>
    <x:row r="70" ht="15" hidden="0" customHeight="1">
      <x:c r="A70" s="82"/>
      <x:c r="B70" s="82"/>
      <x:c r="C70" s="82"/>
      <x:c r="D70" s="82"/>
      <x:c r="E70" s="82"/>
      <x:c r="F70" s="82"/>
      <x:c r="G70" s="82"/>
      <x:c r="H70" s="82"/>
      <x:c r="I70" s="82"/>
      <x:c r="J70" s="82"/>
    </x:row>
    <x:row r="71" ht="15" hidden="0" customHeight="1">
      <x:c r="A71" s="82"/>
      <x:c r="B71" s="82"/>
      <x:c r="C71" s="82"/>
      <x:c r="D71" s="82"/>
      <x:c r="E71" s="82"/>
      <x:c r="F71" s="82"/>
      <x:c r="G71" s="82"/>
      <x:c r="H71" s="82"/>
      <x:c r="I71" s="82"/>
      <x:c r="J71" s="82"/>
    </x:row>
    <x:row r="72" ht="15" hidden="0" customHeight="1">
      <x:c r="A72" s="82"/>
      <x:c r="B72" s="82"/>
      <x:c r="C72" s="82"/>
      <x:c r="D72" s="82"/>
      <x:c r="E72" s="82"/>
      <x:c r="F72" s="82"/>
      <x:c r="G72" s="82"/>
      <x:c r="H72" s="82"/>
      <x:c r="I72" s="82"/>
      <x:c r="J72" s="82"/>
    </x:row>
    <x:row r="73" ht="15" hidden="0" customHeight="1">
      <x:c r="A73" s="82"/>
      <x:c r="B73" s="82"/>
      <x:c r="C73" s="82"/>
      <x:c r="D73" s="82"/>
      <x:c r="E73" s="82"/>
      <x:c r="F73" s="82"/>
      <x:c r="G73" s="82"/>
      <x:c r="H73" s="82"/>
      <x:c r="I73" s="82"/>
      <x:c r="J73" s="82"/>
    </x:row>
    <x:row r="74" ht="15" hidden="0" customHeight="1">
      <x:c r="A74" s="82"/>
      <x:c r="B74" s="82"/>
      <x:c r="C74" s="82"/>
      <x:c r="D74" s="82"/>
      <x:c r="E74" s="82"/>
      <x:c r="F74" s="82"/>
      <x:c r="G74" s="82"/>
      <x:c r="H74" s="82"/>
      <x:c r="I74" s="82"/>
      <x:c r="J74" s="82"/>
    </x:row>
    <x:row r="75" ht="15" hidden="0" customHeight="1">
      <x:c r="A75" s="82"/>
      <x:c r="B75" s="82"/>
      <x:c r="C75" s="82"/>
      <x:c r="D75" s="82"/>
      <x:c r="E75" s="82"/>
      <x:c r="F75" s="82"/>
      <x:c r="G75" s="82"/>
      <x:c r="H75" s="82"/>
      <x:c r="I75" s="82"/>
      <x:c r="J75" s="82"/>
    </x:row>
    <x:row r="76" ht="15" hidden="0" customHeight="1">
      <x:c r="A76" s="82"/>
      <x:c r="B76" s="82"/>
      <x:c r="C76" s="82"/>
      <x:c r="D76" s="82"/>
      <x:c r="E76" s="82"/>
      <x:c r="F76" s="82"/>
      <x:c r="G76" s="82"/>
      <x:c r="H76" s="82"/>
      <x:c r="I76" s="82"/>
      <x:c r="J76" s="82"/>
    </x:row>
    <x:row r="77" ht="15" hidden="0" customHeight="1">
      <x:c r="A77" s="82"/>
      <x:c r="B77" s="82"/>
      <x:c r="C77" s="82"/>
      <x:c r="D77" s="82"/>
      <x:c r="E77" s="82"/>
      <x:c r="F77" s="82"/>
      <x:c r="G77" s="82"/>
      <x:c r="H77" s="82"/>
      <x:c r="I77" s="82"/>
      <x:c r="J77" s="82"/>
    </x:row>
    <x:row r="78" ht="15" hidden="0" customHeight="1">
      <x:c r="A78" s="82"/>
      <x:c r="B78" s="82"/>
      <x:c r="C78" s="82"/>
      <x:c r="D78" s="82"/>
      <x:c r="E78" s="82"/>
      <x:c r="F78" s="82"/>
      <x:c r="G78" s="82"/>
      <x:c r="H78" s="82"/>
      <x:c r="I78" s="82"/>
      <x:c r="J78" s="82"/>
    </x:row>
    <x:row r="79" ht="15" hidden="0" customHeight="1">
      <x:c r="A79" s="82"/>
      <x:c r="B79" s="82"/>
      <x:c r="C79" s="82"/>
      <x:c r="D79" s="82"/>
      <x:c r="E79" s="82"/>
      <x:c r="F79" s="82"/>
      <x:c r="G79" s="82"/>
      <x:c r="H79" s="82"/>
      <x:c r="I79" s="82"/>
      <x:c r="J79" s="82"/>
    </x:row>
    <x:row r="80" ht="15" hidden="0" customHeight="1">
      <x:c r="A80" s="82"/>
      <x:c r="B80" s="82"/>
      <x:c r="C80" s="82"/>
      <x:c r="D80" s="82"/>
      <x:c r="E80" s="82"/>
      <x:c r="F80" s="82"/>
      <x:c r="G80" s="82"/>
      <x:c r="H80" s="82"/>
      <x:c r="I80" s="82"/>
      <x:c r="J80" s="82"/>
    </x:row>
    <x:row r="81" ht="15" hidden="0" customHeight="1">
      <x:c r="A81" s="82"/>
      <x:c r="B81" s="82"/>
      <x:c r="C81" s="82"/>
      <x:c r="D81" s="82"/>
      <x:c r="E81" s="82"/>
      <x:c r="F81" s="82"/>
      <x:c r="G81" s="82"/>
      <x:c r="H81" s="82"/>
      <x:c r="I81" s="82"/>
      <x:c r="J81" s="82"/>
    </x:row>
    <x:row r="82" ht="15" hidden="0" customHeight="1">
      <x:c r="A82" s="82"/>
      <x:c r="B82" s="82"/>
      <x:c r="C82" s="82"/>
      <x:c r="D82" s="82"/>
      <x:c r="E82" s="82"/>
      <x:c r="F82" s="82"/>
      <x:c r="G82" s="82"/>
      <x:c r="H82" s="82"/>
      <x:c r="I82" s="82"/>
      <x:c r="J82" s="82"/>
    </x:row>
    <x:row r="83" ht="15" hidden="0" customHeight="1">
      <x:c r="A83" s="82"/>
      <x:c r="B83" s="82"/>
      <x:c r="C83" s="82"/>
      <x:c r="D83" s="82"/>
      <x:c r="E83" s="82"/>
      <x:c r="F83" s="82"/>
      <x:c r="G83" s="82"/>
      <x:c r="H83" s="82"/>
      <x:c r="I83" s="82"/>
      <x:c r="J83" s="82"/>
    </x:row>
    <x:row r="84" ht="15" hidden="0" customHeight="1">
      <x:c r="A84" s="82"/>
      <x:c r="B84" s="82"/>
      <x:c r="C84" s="82"/>
      <x:c r="D84" s="82"/>
      <x:c r="E84" s="82"/>
      <x:c r="F84" s="82"/>
      <x:c r="G84" s="82"/>
      <x:c r="H84" s="82"/>
      <x:c r="I84" s="82"/>
      <x:c r="J84" s="82"/>
    </x:row>
    <x:row r="85" ht="15" hidden="0" customHeight="1">
      <x:c r="A85" s="82"/>
      <x:c r="B85" s="82"/>
      <x:c r="C85" s="82"/>
      <x:c r="D85" s="82"/>
      <x:c r="E85" s="82"/>
      <x:c r="F85" s="82"/>
      <x:c r="G85" s="82"/>
      <x:c r="H85" s="82"/>
      <x:c r="I85" s="82"/>
      <x:c r="J85" s="82"/>
    </x:row>
    <x:row r="86" ht="15" hidden="0" customHeight="1">
      <x:c r="A86" s="82"/>
      <x:c r="B86" s="82"/>
      <x:c r="C86" s="82"/>
      <x:c r="D86" s="82"/>
      <x:c r="E86" s="82"/>
      <x:c r="F86" s="82"/>
      <x:c r="G86" s="82"/>
      <x:c r="H86" s="82"/>
      <x:c r="I86" s="82"/>
      <x:c r="J86" s="82"/>
    </x:row>
    <x:row r="87" ht="15" hidden="0" customHeight="1">
      <x:c r="A87" s="82"/>
      <x:c r="B87" s="82"/>
      <x:c r="C87" s="82"/>
      <x:c r="D87" s="82"/>
      <x:c r="E87" s="82"/>
      <x:c r="F87" s="82"/>
      <x:c r="G87" s="82"/>
      <x:c r="H87" s="82"/>
      <x:c r="I87" s="82"/>
      <x:c r="J87" s="82"/>
    </x:row>
    <x:row r="88" ht="15" hidden="0" customHeight="1">
      <x:c r="A88" s="82"/>
      <x:c r="B88" s="82"/>
      <x:c r="C88" s="82"/>
      <x:c r="D88" s="82"/>
      <x:c r="E88" s="82"/>
      <x:c r="F88" s="82"/>
      <x:c r="G88" s="82"/>
      <x:c r="H88" s="82"/>
      <x:c r="I88" s="82"/>
      <x:c r="J88" s="82"/>
    </x:row>
    <x:row r="89" ht="15" hidden="0" customHeight="1">
      <x:c r="A89" s="82"/>
      <x:c r="B89" s="82"/>
      <x:c r="C89" s="82"/>
      <x:c r="D89" s="82"/>
      <x:c r="E89" s="82"/>
      <x:c r="F89" s="82"/>
      <x:c r="G89" s="82"/>
      <x:c r="H89" s="82"/>
      <x:c r="I89" s="82"/>
      <x:c r="J89" s="82"/>
    </x:row>
    <x:row r="90" ht="15" hidden="0" customHeight="1">
      <x:c r="A90" s="82"/>
      <x:c r="B90" s="82"/>
      <x:c r="C90" s="82"/>
      <x:c r="D90" s="82"/>
      <x:c r="E90" s="82"/>
      <x:c r="F90" s="82"/>
      <x:c r="G90" s="82"/>
      <x:c r="H90" s="82"/>
      <x:c r="I90" s="82"/>
      <x:c r="J90" s="82"/>
    </x:row>
    <x:row r="91" ht="15" hidden="0" customHeight="1">
      <x:c r="A91" s="82"/>
      <x:c r="B91" s="82"/>
      <x:c r="C91" s="82"/>
      <x:c r="D91" s="82"/>
      <x:c r="E91" s="82"/>
      <x:c r="F91" s="82"/>
      <x:c r="G91" s="82"/>
      <x:c r="H91" s="82"/>
      <x:c r="I91" s="82"/>
      <x:c r="J91" s="82"/>
    </x:row>
    <x:row r="92" ht="15" hidden="0" customHeight="1">
      <x:c r="A92" s="82"/>
      <x:c r="B92" s="82"/>
      <x:c r="C92" s="82"/>
      <x:c r="D92" s="82"/>
      <x:c r="E92" s="82"/>
      <x:c r="F92" s="82"/>
      <x:c r="G92" s="82"/>
      <x:c r="H92" s="82"/>
      <x:c r="I92" s="82"/>
      <x:c r="J92" s="82"/>
    </x:row>
    <x:row r="93" ht="15" hidden="0" customHeight="1">
      <x:c r="A93" s="82"/>
      <x:c r="B93" s="82"/>
      <x:c r="C93" s="82"/>
      <x:c r="D93" s="82"/>
      <x:c r="E93" s="82"/>
      <x:c r="F93" s="82"/>
      <x:c r="G93" s="82"/>
      <x:c r="H93" s="82"/>
      <x:c r="I93" s="82"/>
      <x:c r="J93" s="82"/>
    </x:row>
    <x:row r="94" ht="15" hidden="0" customHeight="1">
      <x:c r="A94" s="82"/>
      <x:c r="B94" s="82"/>
      <x:c r="C94" s="82"/>
      <x:c r="D94" s="82"/>
      <x:c r="E94" s="82"/>
      <x:c r="F94" s="82"/>
      <x:c r="G94" s="82"/>
      <x:c r="H94" s="82"/>
      <x:c r="I94" s="82"/>
      <x:c r="J94" s="82"/>
    </x:row>
    <x:row r="95" ht="15" hidden="0" customHeight="1">
      <x:c r="A95" s="82"/>
      <x:c r="B95" s="82"/>
      <x:c r="C95" s="82"/>
      <x:c r="D95" s="82"/>
      <x:c r="E95" s="82"/>
      <x:c r="F95" s="82"/>
      <x:c r="G95" s="82"/>
      <x:c r="H95" s="82"/>
      <x:c r="I95" s="82"/>
      <x:c r="J95" s="82"/>
    </x:row>
    <x:row r="96" ht="15" hidden="0" customHeight="1">
      <x:c r="A96" s="82"/>
      <x:c r="B96" s="82"/>
      <x:c r="C96" s="82"/>
      <x:c r="D96" s="82"/>
      <x:c r="E96" s="82"/>
      <x:c r="F96" s="82"/>
      <x:c r="G96" s="82"/>
      <x:c r="H96" s="82"/>
      <x:c r="I96" s="82"/>
      <x:c r="J96" s="82"/>
    </x:row>
    <x:row r="97" ht="15" hidden="0" customHeight="1">
      <x:c r="A97" s="82"/>
      <x:c r="B97" s="82"/>
      <x:c r="C97" s="82"/>
      <x:c r="D97" s="82"/>
      <x:c r="E97" s="82"/>
      <x:c r="F97" s="82"/>
      <x:c r="G97" s="82"/>
      <x:c r="H97" s="82"/>
      <x:c r="I97" s="82"/>
      <x:c r="J97" s="82"/>
    </x:row>
    <x:row r="98" ht="15" hidden="0" customHeight="1">
      <x:c r="A98" s="82"/>
      <x:c r="B98" s="82"/>
      <x:c r="C98" s="82"/>
      <x:c r="D98" s="82"/>
      <x:c r="E98" s="82"/>
      <x:c r="F98" s="82"/>
      <x:c r="G98" s="82"/>
      <x:c r="H98" s="82"/>
      <x:c r="I98" s="82"/>
      <x:c r="J98" s="82"/>
    </x:row>
    <x:row r="99" ht="15" hidden="0" customHeight="1">
      <x:c r="A99" s="82"/>
      <x:c r="B99" s="82"/>
      <x:c r="C99" s="82"/>
      <x:c r="D99" s="82"/>
      <x:c r="E99" s="82"/>
      <x:c r="F99" s="82"/>
      <x:c r="G99" s="82"/>
      <x:c r="H99" s="82"/>
      <x:c r="I99" s="82"/>
      <x:c r="J99" s="82"/>
    </x:row>
    <x:row r="100" ht="15" hidden="0" customHeight="1">
      <x:c r="A100" s="82"/>
      <x:c r="B100" s="82"/>
      <x:c r="C100" s="82"/>
      <x:c r="D100" s="82"/>
      <x:c r="E100" s="82"/>
      <x:c r="F100" s="82"/>
      <x:c r="G100" s="82"/>
      <x:c r="H100" s="82"/>
      <x:c r="I100" s="82"/>
      <x:c r="J100" s="82"/>
    </x:row>
  </x:sheetData>
  <x:mergeCells>
    <x:mergeCell ref="A1:J1"/>
    <x:mergeCell ref="A2:J2"/>
    <x:mergeCell ref="A4:B4"/>
    <x:mergeCell ref="C4:D4"/>
    <x:mergeCell ref="E4:F4"/>
    <x:mergeCell ref="G4:H4"/>
    <x:mergeCell ref="A5:B5"/>
    <x:mergeCell ref="C5:D5"/>
    <x:mergeCell ref="E5:F5"/>
    <x:mergeCell ref="G5:H5"/>
    <x:mergeCell ref="A7:J7"/>
    <x:mergeCell ref="A10:B10"/>
    <x:mergeCell ref="C10:J10"/>
    <x:mergeCell ref="A11:B11"/>
    <x:mergeCell ref="C11:J11"/>
    <x:mergeCell ref="A12:B12"/>
    <x:mergeCell ref="C12:J12"/>
    <x:mergeCell ref="A14:J14"/>
    <x:mergeCell ref="B15:E15"/>
    <x:mergeCell ref="G15:J15"/>
    <x:mergeCell ref="B16:E16"/>
    <x:mergeCell ref="G16:J16"/>
    <x:mergeCell ref="B17:E17"/>
    <x:mergeCell ref="G17:J17"/>
    <x:mergeCell ref="B18:E18"/>
    <x:mergeCell ref="G18:J18"/>
    <x:mergeCell ref="A20:J20"/>
    <x:mergeCell ref="B21:E21"/>
    <x:mergeCell ref="G21:J21"/>
    <x:mergeCell ref="B22:E22"/>
    <x:mergeCell ref="G22:J22"/>
    <x:mergeCell ref="B23:E23"/>
    <x:mergeCell ref="G23:J23"/>
    <x:mergeCell ref="B24:E24"/>
    <x:mergeCell ref="G24:J24"/>
    <x:mergeCell ref="B25:E25"/>
    <x:mergeCell ref="G25:J25"/>
    <x:mergeCell ref="B26:E26"/>
    <x:mergeCell ref="G26:J26"/>
    <x:mergeCell ref="A28:D28"/>
  </x:mergeCells>
  <x:pageMargins left="0.7" right="0.7" top="0.75" bottom="0.75" header="0.3" footer="0.3"/>
  <x:drawing xmlns:r="http://schemas.openxmlformats.org/officeDocument/2006/relationships" r:id="Rada751b4b8a34a54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46" hidden="0" customWidth="1"/>
    <x:col min="6" max="6" width="12" hidden="0" customWidth="1"/>
    <x:col min="7" max="7" width="30" hidden="0" customWidth="1"/>
    <x:col min="8" max="8" width="40" hidden="0" customWidth="1"/>
    <x:col min="9" max="9" width="14" hidden="0" customWidth="1"/>
    <x:col min="10" max="10" width="24" hidden="0" customWidth="1"/>
  </x:cols>
  <x:sheetData>
    <x:row r="1" ht="64.80000305175781" hidden="0" customHeight="1">
      <x:c r="A1" s="80" t="str">
        <x:v>기능 요구사항 정의</x:v>
      </x:c>
      <x:c r="B1" s="80"/>
      <x:c r="C1" s="80"/>
      <x:c r="D1" s="80"/>
      <x:c r="E1" s="80"/>
      <x:c r="F1" s="80"/>
      <x:c r="G1" s="80"/>
      <x:c r="H1" s="80"/>
      <x:c r="I1" s="80"/>
      <x:c r="J1" s="80"/>
    </x:row>
    <x:row r="2" ht="15" hidden="0" customHeight="1">
      <x:c r="A2" s="68" t="str">
        <x:v>요구사항 ID</x:v>
      </x:c>
      <x:c r="B2" s="68" t="str">
        <x:v>대분류</x:v>
      </x:c>
      <x:c r="C2" s="68" t="str">
        <x:v>사용자</x:v>
      </x:c>
      <x:c r="D2" s="68" t="str">
        <x:v>기능명</x:v>
      </x:c>
      <x:c r="E2" s="68" t="str">
        <x:v>상세 요구사항</x:v>
      </x:c>
      <x:c r="F2" s="68" t="str">
        <x:v>우선순위</x:v>
      </x:c>
      <x:c r="G2" s="68" t="str">
        <x:v>관련 API</x:v>
      </x:c>
      <x:c r="H2" s="68" t="str">
        <x:v>완료 기준</x:v>
      </x:c>
      <x:c r="I2" s="68" t="str">
        <x:v>상태</x:v>
      </x:c>
      <x:c r="J2" s="68" t="str">
        <x:v>비고</x:v>
      </x:c>
    </x:row>
    <x:row r="3" ht="24" hidden="0" customHeight="1">
      <x:c r="A3" s="75" t="str">
        <x:v>FR-001</x:v>
      </x:c>
      <x:c r="B3" s="75" t="str">
        <x:v>회원/인증</x:v>
      </x:c>
      <x:c r="C3" s="75" t="str">
        <x:v>비회원</x:v>
      </x:c>
      <x:c r="D3" s="75" t="str">
        <x:v>회원가입</x:v>
      </x:c>
      <x:c r="E3" s="38" t="str">
        <x:v>사용자 ID, 비밀번호, 이름, 생년월일을 입력하여 계정을 생성한다.</x:v>
      </x:c>
      <x:c r="F3" s="75" t="str">
        <x:v>Must</x:v>
      </x:c>
      <x:c r="G3" s="38" t="str">
        <x:v>POST /api/users</x:v>
      </x:c>
      <x:c r="H3" s="38" t="str">
        <x:v>중복 ID 차단, 비밀번호 4자 이상, 미래 생년월일 차단</x:v>
      </x:c>
      <x:c r="I3" s="75" t="str">
        <x:v>구현 완료</x:v>
      </x:c>
      <x:c r="J3" s="38" t="str">
        <x:v>비밀번호 PBKDF2 해시 저장</x:v>
      </x:c>
    </x:row>
    <x:row r="4" ht="15" hidden="0" customHeight="1">
      <x:c r="A4" s="75" t="str">
        <x:v>FR-002</x:v>
      </x:c>
      <x:c r="B4" s="75" t="str">
        <x:v>회원/인증</x:v>
      </x:c>
      <x:c r="C4" s="75" t="str">
        <x:v>사용자</x:v>
      </x:c>
      <x:c r="D4" s="75" t="str">
        <x:v>사용자 로그인</x:v>
      </x:c>
      <x:c r="E4" s="38" t="str">
        <x:v>사용자 계정으로 로그인하고 Bearer 토큰을 발급받는다.</x:v>
      </x:c>
      <x:c r="F4" s="75" t="str">
        <x:v>Must</x:v>
      </x:c>
      <x:c r="G4" s="38" t="str">
        <x:v>POST /api/sessions</x:v>
      </x:c>
      <x:c r="H4" s="38" t="str">
        <x:v>유효 계정 로그인 성공, 오류 계정 401 반환</x:v>
      </x:c>
      <x:c r="I4" s="75" t="str">
        <x:v>구현 완료</x:v>
      </x:c>
      <x:c r="J4" s="38" t="str">
        <x:v>role=user</x:v>
      </x:c>
    </x:row>
    <x:row r="5" ht="15" hidden="0" customHeight="1">
      <x:c r="A5" s="75" t="str">
        <x:v>FR-003</x:v>
      </x:c>
      <x:c r="B5" s="75" t="str">
        <x:v>회원/인증</x:v>
      </x:c>
      <x:c r="C5" s="75" t="str">
        <x:v>관리자</x:v>
      </x:c>
      <x:c r="D5" s="75" t="str">
        <x:v>관리자 로그인</x:v>
      </x:c>
      <x:c r="E5" s="38" t="str">
        <x:v>환경 설정의 관리자 계정으로 로그인한다.</x:v>
      </x:c>
      <x:c r="F5" s="75" t="str">
        <x:v>Must</x:v>
      </x:c>
      <x:c r="G5" s="38" t="str">
        <x:v>POST /api/sessions</x:v>
      </x:c>
      <x:c r="H5" s="38" t="str">
        <x:v>admin/admin 기본 계정 로그인 성공</x:v>
      </x:c>
      <x:c r="I5" s="75" t="str">
        <x:v>구현 완료</x:v>
      </x:c>
      <x:c r="J5" s="38" t="str">
        <x:v>role=admin</x:v>
      </x:c>
    </x:row>
    <x:row r="6" ht="15" hidden="0" customHeight="1">
      <x:c r="A6" s="75" t="str">
        <x:v>FR-004</x:v>
      </x:c>
      <x:c r="B6" s="75" t="str">
        <x:v>회원/인증</x:v>
      </x:c>
      <x:c r="C6" s="75" t="str">
        <x:v>사용자/관리자</x:v>
      </x:c>
      <x:c r="D6" s="75" t="str">
        <x:v>로그아웃</x:v>
      </x:c>
      <x:c r="E6" s="38" t="str">
        <x:v>현재 메모리 세션을 삭제하고 로그인 화면으로 이동한다.</x:v>
      </x:c>
      <x:c r="F6" s="75" t="str">
        <x:v>Must</x:v>
      </x:c>
      <x:c r="G6" s="38" t="str">
        <x:v>DELETE /api/sessions/current</x:v>
      </x:c>
      <x:c r="H6" s="38" t="str">
        <x:v>토큰 무효화 및 브라우저 세션 제거</x:v>
      </x:c>
      <x:c r="I6" s="75" t="str">
        <x:v>구현 완료</x:v>
      </x:c>
      <x:c r="J6" s="38" t="str">
        <x:v>재시작 시 전체 세션 만료</x:v>
      </x:c>
    </x:row>
    <x:row r="7" ht="15" hidden="0" customHeight="1">
      <x:c r="A7" s="75" t="str">
        <x:v>FR-005</x:v>
      </x:c>
      <x:c r="B7" s="75" t="str">
        <x:v>측정 기록</x:v>
      </x:c>
      <x:c r="C7" s="75" t="str">
        <x:v>사용자</x:v>
      </x:c>
      <x:c r="D7" s="75" t="str">
        <x:v>측정 기록 등록</x:v>
      </x:c>
      <x:c r="E7" s="38" t="str">
        <x:v>날짜, 키, 몸무게, 혈압, 공복 혈당, 메모를 등록한다.</x:v>
      </x:c>
      <x:c r="F7" s="75" t="str">
        <x:v>Must</x:v>
      </x:c>
      <x:c r="G7" s="38" t="str">
        <x:v>POST /api/measurements</x:v>
      </x:c>
      <x:c r="H7" s="38" t="str">
        <x:v>입력 검증 후 JSON 저장 및 201 반환</x:v>
      </x:c>
      <x:c r="I7" s="75" t="str">
        <x:v>구현 완료</x:v>
      </x:c>
      <x:c r="J7" s="38" t="str">
        <x:v>하루 1건</x:v>
      </x:c>
    </x:row>
    <x:row r="8" ht="24" hidden="0" customHeight="1">
      <x:c r="A8" s="75" t="str">
        <x:v>FR-006</x:v>
      </x:c>
      <x:c r="B8" s="75" t="str">
        <x:v>측정 기록</x:v>
      </x:c>
      <x:c r="C8" s="75" t="str">
        <x:v>사용자</x:v>
      </x:c>
      <x:c r="D8" s="75" t="str">
        <x:v>측정값 검증</x:v>
      </x:c>
      <x:c r="E8" s="38" t="str">
        <x:v>미래 날짜, 동일 날짜 중복, 수축기&lt;=이완기, 인접 날짜 급변 값을 차단한다.</x:v>
      </x:c>
      <x:c r="F8" s="75" t="str">
        <x:v>Must</x:v>
      </x:c>
      <x:c r="G8" s="38" t="str">
        <x:v>POST/PUT /api/measurements</x:v>
      </x:c>
      <x:c r="H8" s="38" t="str">
        <x:v>잘못된 값은 400 반환</x:v>
      </x:c>
      <x:c r="I8" s="75" t="str">
        <x:v>구현 완료</x:v>
      </x:c>
      <x:c r="J8" s="38" t="str">
        <x:v>키 3cm, 몸무게 5kg 이상 차단</x:v>
      </x:c>
    </x:row>
    <x:row r="9" ht="15" hidden="0" customHeight="1">
      <x:c r="A9" s="75" t="str">
        <x:v>FR-007</x:v>
      </x:c>
      <x:c r="B9" s="75" t="str">
        <x:v>건강 계산</x:v>
      </x:c>
      <x:c r="C9" s="75" t="str">
        <x:v>사용자/관리자</x:v>
      </x:c>
      <x:c r="D9" s="75" t="str">
        <x:v>BMI 계산</x:v>
      </x:c>
      <x:c r="E9" s="38" t="str">
        <x:v>몸무게÷키(m)^2를 소수점 첫째 자리로 계산하고 분류한다.</x:v>
      </x:c>
      <x:c r="F9" s="75" t="str">
        <x:v>Must</x:v>
      </x:c>
      <x:c r="G9" s="38" t="str">
        <x:v>POST/PUT/GET measurement</x:v>
      </x:c>
      <x:c r="H9" s="38" t="str">
        <x:v>저체중/정상/과체중/비만 분류</x:v>
      </x:c>
      <x:c r="I9" s="75" t="str">
        <x:v>구현 완료</x:v>
      </x:c>
      <x:c r="J9" s="38" t="str">
        <x:v>18.5, 23, 25 경계</x:v>
      </x:c>
    </x:row>
    <x:row r="10" ht="15" hidden="0" customHeight="1">
      <x:c r="A10" s="75" t="str">
        <x:v>FR-008</x:v>
      </x:c>
      <x:c r="B10" s="75" t="str">
        <x:v>건강 계산</x:v>
      </x:c>
      <x:c r="C10" s="75" t="str">
        <x:v>사용자/관리자</x:v>
      </x:c>
      <x:c r="D10" s="75" t="str">
        <x:v>혈압 분류</x:v>
      </x:c>
      <x:c r="E10" s="38" t="str">
        <x:v>수축기와 이완기 혈압을 정상/주의/고혈압으로 분류한다.</x:v>
      </x:c>
      <x:c r="F10" s="75" t="str">
        <x:v>Must</x:v>
      </x:c>
      <x:c r="G10" s="38" t="str">
        <x:v>POST/PUT/GET measurement</x:v>
      </x:c>
      <x:c r="H10" s="38" t="str">
        <x:v>120/80, 140/90 기준 적용</x:v>
      </x:c>
      <x:c r="I10" s="75" t="str">
        <x:v>구현 완료</x:v>
      </x:c>
      <x:c r="J10" s="38" t="str">
        <x:v>OR 조건 적용</x:v>
      </x:c>
    </x:row>
    <x:row r="11" ht="15" hidden="0" customHeight="1">
      <x:c r="A11" s="75" t="str">
        <x:v>FR-009</x:v>
      </x:c>
      <x:c r="B11" s="75" t="str">
        <x:v>건강 계산</x:v>
      </x:c>
      <x:c r="C11" s="75" t="str">
        <x:v>사용자/관리자</x:v>
      </x:c>
      <x:c r="D11" s="75" t="str">
        <x:v>공복 혈당 분류</x:v>
      </x:c>
      <x:c r="E11" s="38" t="str">
        <x:v>공복 혈당을 정상/공복혈당장애/당뇨 의심으로 분류한다.</x:v>
      </x:c>
      <x:c r="F11" s="75" t="str">
        <x:v>Must</x:v>
      </x:c>
      <x:c r="G11" s="38" t="str">
        <x:v>POST/PUT/GET measurement</x:v>
      </x:c>
      <x:c r="H11" s="38" t="str">
        <x:v>100, 126 기준 적용</x:v>
      </x:c>
      <x:c r="I11" s="75" t="str">
        <x:v>구현 완료</x:v>
      </x:c>
      <x:c r="J11" s="38" t="str">
        <x:v>mg/dL</x:v>
      </x:c>
    </x:row>
    <x:row r="12" ht="24" hidden="0" customHeight="1">
      <x:c r="A12" s="75" t="str">
        <x:v>FR-010</x:v>
      </x:c>
      <x:c r="B12" s="75" t="str">
        <x:v>건강 계산</x:v>
      </x:c>
      <x:c r="C12" s="75" t="str">
        <x:v>사용자</x:v>
      </x:c>
      <x:c r="D12" s="75" t="str">
        <x:v>위험 경고</x:v>
      </x:c>
      <x:c r="E12" s="38" t="str">
        <x:v>비만·고혈압·당뇨 의심 중 하나라도 존재하면 경고 메시지를 출력한다.</x:v>
      </x:c>
      <x:c r="F12" s="75" t="str">
        <x:v>Must</x:v>
      </x:c>
      <x:c r="G12" s="38" t="str">
        <x:v>POST/PUT /api/measurements</x:v>
      </x:c>
      <x:c r="H12" s="38" t="str">
        <x:v>위험 항목별 경고 배열 반환</x:v>
      </x:c>
      <x:c r="I12" s="75" t="str">
        <x:v>구현 완료</x:v>
      </x:c>
      <x:c r="J12" s="38" t="str">
        <x:v>의료 진단 아님</x:v>
      </x:c>
    </x:row>
    <x:row r="13" ht="15" hidden="0" customHeight="1">
      <x:c r="A13" s="75" t="str">
        <x:v>FR-011</x:v>
      </x:c>
      <x:c r="B13" s="75" t="str">
        <x:v>측정 기록</x:v>
      </x:c>
      <x:c r="C13" s="75" t="str">
        <x:v>사용자</x:v>
      </x:c>
      <x:c r="D13" s="75" t="str">
        <x:v>측정 목록 조회</x:v>
      </x:c>
      <x:c r="E13" s="38" t="str">
        <x:v>본인의 날짜별 기록과 판정 결과를 조회한다.</x:v>
      </x:c>
      <x:c r="F13" s="75" t="str">
        <x:v>Must</x:v>
      </x:c>
      <x:c r="G13" s="38" t="str">
        <x:v>GET /api/measurements</x:v>
      </x:c>
      <x:c r="H13" s="38" t="str">
        <x:v>최신 날짜순 목록 반환</x:v>
      </x:c>
      <x:c r="I13" s="75" t="str">
        <x:v>구현 완료</x:v>
      </x:c>
      <x:c r="J13" s="38" t="str">
        <x:v>수치는 상세에서 표시</x:v>
      </x:c>
    </x:row>
    <x:row r="14" ht="24" hidden="0" customHeight="1">
      <x:c r="A14" s="75" t="str">
        <x:v>FR-012</x:v>
      </x:c>
      <x:c r="B14" s="75" t="str">
        <x:v>측정 기록</x:v>
      </x:c>
      <x:c r="C14" s="75" t="str">
        <x:v>사용자/관리자</x:v>
      </x:c>
      <x:c r="D14" s="75" t="str">
        <x:v>측정 상세 조회</x:v>
      </x:c>
      <x:c r="E14" s="38" t="str">
        <x:v>선택한 측정 기록의 원본 수치와 계산 결과를 상세 모달로 확인한다.</x:v>
      </x:c>
      <x:c r="F14" s="75" t="str">
        <x:v>Must</x:v>
      </x:c>
      <x:c r="G14" s="38" t="str">
        <x:v>GET /api/measurements/{id}</x:v>
      </x:c>
      <x:c r="H14" s="38" t="str">
        <x:v>권한 검사 후 상세 반환</x:v>
      </x:c>
      <x:c r="I14" s="75" t="str">
        <x:v>구현 완료</x:v>
      </x:c>
      <x:c r="J14" s="38" t="str">
        <x:v>판정별 색상 표시</x:v>
      </x:c>
    </x:row>
    <x:row r="15" ht="24" hidden="0" customHeight="1">
      <x:c r="A15" s="75" t="str">
        <x:v>FR-013</x:v>
      </x:c>
      <x:c r="B15" s="75" t="str">
        <x:v>측정 기록</x:v>
      </x:c>
      <x:c r="C15" s="75" t="str">
        <x:v>사용자</x:v>
      </x:c>
      <x:c r="D15" s="75" t="str">
        <x:v>측정 기록 전체 수정</x:v>
      </x:c>
      <x:c r="E15" s="38" t="str">
        <x:v>PUT으로 기존 기록 전체를 교체하고 계산 결과를 다시 생성한다.</x:v>
      </x:c>
      <x:c r="F15" s="75" t="str">
        <x:v>Must</x:v>
      </x:c>
      <x:c r="G15" s="38" t="str">
        <x:v>PUT /api/measurements/{id}</x:v>
      </x:c>
      <x:c r="H15" s="38" t="str">
        <x:v>본인 기록만 수정, 전·후일 검증, 평균 갱신</x:v>
      </x:c>
      <x:c r="I15" s="75" t="str">
        <x:v>구현 완료</x:v>
      </x:c>
      <x:c r="J15" s="38" t="str">
        <x:v>관리자 수정 불가</x:v>
      </x:c>
    </x:row>
    <x:row r="16" ht="15" hidden="0" customHeight="1">
      <x:c r="A16" s="75" t="str">
        <x:v>FR-014</x:v>
      </x:c>
      <x:c r="B16" s="75" t="str">
        <x:v>측정 기록</x:v>
      </x:c>
      <x:c r="C16" s="75" t="str">
        <x:v>사용자</x:v>
      </x:c>
      <x:c r="D16" s="75" t="str">
        <x:v>본인 기록 삭제</x:v>
      </x:c>
      <x:c r="E16" s="38" t="str">
        <x:v>본인의 측정 기록을 확인창 후 영구 삭제한다.</x:v>
      </x:c>
      <x:c r="F16" s="75" t="str">
        <x:v>Must</x:v>
      </x:c>
      <x:c r="G16" s="38" t="str">
        <x:v>DELETE /api/measurements/{id}</x:v>
      </x:c>
      <x:c r="H16" s="38" t="str">
        <x:v>소유권 검사 후 JSON에서 삭제</x:v>
      </x:c>
      <x:c r="I16" s="75" t="str">
        <x:v>구현 완료</x:v>
      </x:c>
      <x:c r="J16" s="38" t="str">
        <x:v>복구 기능 없음</x:v>
      </x:c>
    </x:row>
    <x:row r="17" ht="15" hidden="0" customHeight="1">
      <x:c r="A17" s="75" t="str">
        <x:v>FR-015</x:v>
      </x:c>
      <x:c r="B17" s="75" t="str">
        <x:v>검색/통계</x:v>
      </x:c>
      <x:c r="C17" s="75" t="str">
        <x:v>사용자</x:v>
      </x:c>
      <x:c r="D17" s="75" t="str">
        <x:v>날짜 범위 검색</x:v>
      </x:c>
      <x:c r="E17" s="38" t="str">
        <x:v>시작일과 종료일로 본인 측정 기록을 필터링한다.</x:v>
      </x:c>
      <x:c r="F17" s="75" t="str">
        <x:v>Must</x:v>
      </x:c>
      <x:c r="G17" s="38" t="str">
        <x:v>GET /api/search</x:v>
      </x:c>
      <x:c r="H17" s="38" t="str">
        <x:v>포함 범위 검색, 역전 날짜 거부</x:v>
      </x:c>
      <x:c r="I17" s="75" t="str">
        <x:v>구현 완료</x:v>
      </x:c>
      <x:c r="J17" s="38" t="str">
        <x:v>GET /api/measurements 별칭</x:v>
      </x:c>
    </x:row>
    <x:row r="18" ht="15" hidden="0" customHeight="1">
      <x:c r="A18" s="75" t="str">
        <x:v>FR-016</x:v>
      </x:c>
      <x:c r="B18" s="75" t="str">
        <x:v>검색/통계</x:v>
      </x:c>
      <x:c r="C18" s="75" t="str">
        <x:v>사용자/관리자</x:v>
      </x:c>
      <x:c r="D18" s="75" t="str">
        <x:v>페이지네이션</x:v>
      </x:c>
      <x:c r="E18" s="38" t="str">
        <x:v>검색 결과를 기본 5건 단위로 페이지 이동한다.</x:v>
      </x:c>
      <x:c r="F18" s="75" t="str">
        <x:v>Must</x:v>
      </x:c>
      <x:c r="G18" s="38" t="str">
        <x:v>GET measurement list</x:v>
      </x:c>
      <x:c r="H18" s="38" t="str">
        <x:v>이전/다음/페이지 번호 및 총 페이지 반환</x:v>
      </x:c>
      <x:c r="I18" s="75" t="str">
        <x:v>구현 완료</x:v>
      </x:c>
      <x:c r="J18" s="38" t="str">
        <x:v>page_size 1~50</x:v>
      </x:c>
    </x:row>
    <x:row r="19" ht="24" hidden="0" customHeight="1">
      <x:c r="A19" s="75" t="str">
        <x:v>FR-017</x:v>
      </x:c>
      <x:c r="B19" s="75" t="str">
        <x:v>검색/통계</x:v>
      </x:c>
      <x:c r="C19" s="75" t="str">
        <x:v>사용자/관리자</x:v>
      </x:c>
      <x:c r="D19" s="75" t="str">
        <x:v>기간 평균 통계</x:v>
      </x:c>
      <x:c r="E19" s="38" t="str">
        <x:v>선택 기간의 키·몸무게·BMI·수축기·이완기·혈당 평균을 조회한다.</x:v>
      </x:c>
      <x:c r="F19" s="75" t="str">
        <x:v>Must</x:v>
      </x:c>
      <x:c r="G19" s="38" t="str">
        <x:v>GET /api/stats</x:v>
      </x:c>
      <x:c r="H19" s="38" t="str">
        <x:v>기록 수와 기간, 평균값 반환</x:v>
      </x:c>
      <x:c r="I19" s="75" t="str">
        <x:v>구현 완료</x:v>
      </x:c>
      <x:c r="J19" s="38" t="str">
        <x:v>매 요청 시 재계산</x:v>
      </x:c>
    </x:row>
    <x:row r="20" ht="15" hidden="0" customHeight="1">
      <x:c r="A20" s="75" t="str">
        <x:v>FR-018</x:v>
      </x:c>
      <x:c r="B20" s="75" t="str">
        <x:v>검색/통계</x:v>
      </x:c>
      <x:c r="C20" s="75" t="str">
        <x:v>사용자</x:v>
      </x:c>
      <x:c r="D20" s="75" t="str">
        <x:v>평균 자동 갱신</x:v>
      </x:c>
      <x:c r="E20" s="38" t="str">
        <x:v>POST·PUT·DELETE 이후 기록 목록과 평균 화면을 다시 불러온다.</x:v>
      </x:c>
      <x:c r="F20" s="75" t="str">
        <x:v>Should</x:v>
      </x:c>
      <x:c r="G20" s="38" t="str">
        <x:v>POST/PUT/DELETE measurement</x:v>
      </x:c>
      <x:c r="H20" s="38" t="str">
        <x:v>작업 직후 평균 값 반영</x:v>
      </x:c>
      <x:c r="I20" s="75" t="str">
        <x:v>구현 완료</x:v>
      </x:c>
      <x:c r="J20" s="38" t="str">
        <x:v>별도 누적값 미저장</x:v>
      </x:c>
    </x:row>
    <x:row r="21" ht="24" hidden="0" customHeight="1">
      <x:c r="A21" s="75" t="str">
        <x:v>FR-019</x:v>
      </x:c>
      <x:c r="B21" s="75" t="str">
        <x:v>관리자</x:v>
      </x:c>
      <x:c r="C21" s="75" t="str">
        <x:v>관리자</x:v>
      </x:c>
      <x:c r="D21" s="75" t="str">
        <x:v>사용자 목록 조회</x:v>
      </x:c>
      <x:c r="E21" s="38" t="str">
        <x:v>전체 사용자의 기본 정보, 측정 건수, 위험 기록 건수를 조회한다.</x:v>
      </x:c>
      <x:c r="F21" s="75" t="str">
        <x:v>Must</x:v>
      </x:c>
      <x:c r="G21" s="38" t="str">
        <x:v>GET /api/users</x:v>
      </x:c>
      <x:c r="H21" s="38" t="str">
        <x:v>관리자 전용 접근</x:v>
      </x:c>
      <x:c r="I21" s="75" t="str">
        <x:v>구현 완료</x:v>
      </x:c>
      <x:c r="J21" s="38" t="str">
        <x:v>사용자 ID순</x:v>
      </x:c>
    </x:row>
    <x:row r="22" ht="15" hidden="0" customHeight="1">
      <x:c r="A22" s="75" t="str">
        <x:v>FR-020</x:v>
      </x:c>
      <x:c r="B22" s="75" t="str">
        <x:v>관리자</x:v>
      </x:c>
      <x:c r="C22" s="75" t="str">
        <x:v>관리자</x:v>
      </x:c>
      <x:c r="D22" s="75" t="str">
        <x:v>사용자 검색</x:v>
      </x:c>
      <x:c r="E22" s="38" t="str">
        <x:v>사용자 ID 또는 이름 일부로 사용자를 검색한다.</x:v>
      </x:c>
      <x:c r="F22" s="75" t="str">
        <x:v>Must</x:v>
      </x:c>
      <x:c r="G22" s="38" t="str">
        <x:v>GET /api/users?keyword=</x:v>
      </x:c>
      <x:c r="H22" s="38" t="str">
        <x:v>부분 일치 검색 결과 반환</x:v>
      </x:c>
      <x:c r="I22" s="75" t="str">
        <x:v>구현 완료</x:v>
      </x:c>
      <x:c r="J22" s="38" t="str">
        <x:v>대소문자 무시</x:v>
      </x:c>
    </x:row>
    <x:row r="23" ht="15" hidden="0" customHeight="1">
      <x:c r="A23" s="75" t="str">
        <x:v>FR-021</x:v>
      </x:c>
      <x:c r="B23" s="75" t="str">
        <x:v>관리자</x:v>
      </x:c>
      <x:c r="C23" s="75" t="str">
        <x:v>관리자</x:v>
      </x:c>
      <x:c r="D23" s="75" t="str">
        <x:v>사용자별 기록 조회</x:v>
      </x:c>
      <x:c r="E23" s="38" t="str">
        <x:v>선택한 사용자의 날짜 범위별 측정 기록과 평균을 조회한다.</x:v>
      </x:c>
      <x:c r="F23" s="75" t="str">
        <x:v>Must</x:v>
      </x:c>
      <x:c r="G23" s="38" t="str">
        <x:v>GET /api/users/{id}/measurements</x:v>
      </x:c>
      <x:c r="H23" s="38" t="str">
        <x:v>페이지네이션·통계 연동</x:v>
      </x:c>
      <x:c r="I23" s="75" t="str">
        <x:v>구현 완료</x:v>
      </x:c>
      <x:c r="J23" s="38" t="str">
        <x:v>수정 기능 없음</x:v>
      </x:c>
    </x:row>
    <x:row r="24" ht="15" hidden="0" customHeight="1">
      <x:c r="A24" s="75" t="str">
        <x:v>FR-022</x:v>
      </x:c>
      <x:c r="B24" s="75" t="str">
        <x:v>관리자</x:v>
      </x:c>
      <x:c r="C24" s="75" t="str">
        <x:v>관리자</x:v>
      </x:c>
      <x:c r="D24" s="75" t="str">
        <x:v>사용자 기록 삭제</x:v>
      </x:c>
      <x:c r="E24" s="38" t="str">
        <x:v>관리자가 사용자의 잘못된 측정 기록을 삭제한다.</x:v>
      </x:c>
      <x:c r="F24" s="75" t="str">
        <x:v>Should</x:v>
      </x:c>
      <x:c r="G24" s="38" t="str">
        <x:v>DELETE /api/measurements/{id}</x:v>
      </x:c>
      <x:c r="H24" s="38" t="str">
        <x:v>관리자 권한 확인 후 삭제</x:v>
      </x:c>
      <x:c r="I24" s="75" t="str">
        <x:v>구현 완료</x:v>
      </x:c>
      <x:c r="J24" s="38" t="str">
        <x:v>삭제 주체 반환</x:v>
      </x:c>
    </x:row>
    <x:row r="25" ht="24" hidden="0" customHeight="1">
      <x:c r="A25" s="75" t="str">
        <x:v>FR-023</x:v>
      </x:c>
      <x:c r="B25" s="75" t="str">
        <x:v>저장/배포</x:v>
      </x:c>
      <x:c r="C25" s="75" t="str">
        <x:v>시스템</x:v>
      </x:c>
      <x:c r="D25" s="75" t="str">
        <x:v>JSON 영속 저장</x:v>
      </x:c>
      <x:c r="E25" s="38" t="str">
        <x:v>사용자와 측정 기록을 data.json에 저장하여 재시작 후 유지한다.</x:v>
      </x:c>
      <x:c r="F25" s="75" t="str">
        <x:v>Must</x:v>
      </x:c>
      <x:c r="G25" s="38" t="str">
        <x:v>내부 저장 계층</x:v>
      </x:c>
      <x:c r="H25" s="38" t="str">
        <x:v>임시 파일 작성 후 원자적 교체</x:v>
      </x:c>
      <x:c r="I25" s="75" t="str">
        <x:v>구현 완료</x:v>
      </x:c>
      <x:c r="J25" s="38" t="str">
        <x:v>data.json은 gitignore</x:v>
      </x:c>
    </x:row>
    <x:row r="26" ht="15" hidden="0" customHeight="1">
      <x:c r="A26" s="75" t="str">
        <x:v>FR-024</x:v>
      </x:c>
      <x:c r="B26" s="75" t="str">
        <x:v>저장/배포</x:v>
      </x:c>
      <x:c r="C26" s="75" t="str">
        <x:v>시스템</x:v>
      </x:c>
      <x:c r="D26" s="75" t="str">
        <x:v>고유 ID 생성</x:v>
      </x:c>
      <x:c r="E26" s="38" t="str">
        <x:v>next_measurement_id로 측정 기록 ID를 중복 없이 증가시킨다.</x:v>
      </x:c>
      <x:c r="F26" s="75" t="str">
        <x:v>Must</x:v>
      </x:c>
      <x:c r="G26" s="38" t="str">
        <x:v>내부 저장 계층</x:v>
      </x:c>
      <x:c r="H26" s="38" t="str">
        <x:v>삭제 후에도 ID 재사용 금지</x:v>
      </x:c>
      <x:c r="I26" s="75" t="str">
        <x:v>구현 완료</x:v>
      </x:c>
      <x:c r="J26" s="38" t="str">
        <x:v>정수 증가</x:v>
      </x:c>
    </x:row>
    <x:row r="27" ht="24" hidden="0" customHeight="1">
      <x:c r="A27" s="75" t="str">
        <x:v>FR-025</x:v>
      </x:c>
      <x:c r="B27" s="75" t="str">
        <x:v>저장/배포</x:v>
      </x:c>
      <x:c r="C27" s="75" t="str">
        <x:v>시스템</x:v>
      </x:c>
      <x:c r="D27" s="75" t="str">
        <x:v>SQLite 자동 변환</x:v>
      </x:c>
      <x:c r="E27" s="38" t="str">
        <x:v>기존 DB가 있고 JSON이 없으면 사용자와 측정 기록을 최초 1회 변환한다.</x:v>
      </x:c>
      <x:c r="F27" s="75" t="str">
        <x:v>Could</x:v>
      </x:c>
      <x:c r="G27" s="38" t="str">
        <x:v>서버 초기화</x:v>
      </x:c>
      <x:c r="H27" s="38" t="str">
        <x:v>기존 데이터 보존 후 data.json 생성</x:v>
      </x:c>
      <x:c r="I27" s="75" t="str">
        <x:v>구현 완료</x:v>
      </x:c>
      <x:c r="J27" s="38" t="str">
        <x:v>하위 호환</x:v>
      </x:c>
    </x:row>
    <x:row r="28" ht="15" hidden="0" customHeight="1">
      <x:c r="A28" s="75" t="str">
        <x:v>FR-026</x:v>
      </x:c>
      <x:c r="B28" s="75" t="str">
        <x:v>저장/배포</x:v>
      </x:c>
      <x:c r="C28" s="75" t="str">
        <x:v>시스템</x:v>
      </x:c>
      <x:c r="D28" s="75" t="str">
        <x:v>Docker/Nginx 실행</x:v>
      </x:c>
      <x:c r="E28" s="38" t="str">
        <x:v>Nginx가 정적 화면을 제공하고 /api 요청을 Flask로 프록시한다.</x:v>
      </x:c>
      <x:c r="F28" s="75" t="str">
        <x:v>Must</x:v>
      </x:c>
      <x:c r="G28" s="38" t="str">
        <x:v>Docker Compose</x:v>
      </x:c>
      <x:c r="H28" s="38" t="str">
        <x:v>frontend와 backend healthy 상태</x:v>
      </x:c>
      <x:c r="I28" s="75" t="str">
        <x:v>구현 완료</x:v>
      </x:c>
      <x:c r="J28" s="38" t="str">
        <x:v>외부 80, 내부 5000</x:v>
      </x:c>
    </x:row>
    <x:row r="29" ht="15" hidden="0" customHeight="1">
      <x:c r="A29" s="75" t="str">
        <x:v>FR-027</x:v>
      </x:c>
      <x:c r="B29" s="75" t="str">
        <x:v>저장/배포</x:v>
      </x:c>
      <x:c r="C29" s="75" t="str">
        <x:v>시스템</x:v>
      </x:c>
      <x:c r="D29" s="75" t="str">
        <x:v>상태 확인 API</x:v>
      </x:c>
      <x:c r="E29" s="38" t="str">
        <x:v>서비스 상태와 저장 형식을 확인할 수 있다.</x:v>
      </x:c>
      <x:c r="F29" s="75" t="str">
        <x:v>Should</x:v>
      </x:c>
      <x:c r="G29" s="38" t="str">
        <x:v>GET /api/health, GET /api</x:v>
      </x:c>
      <x:c r="H29" s="38" t="str">
        <x:v>HTTP 200 및 storage=json</x:v>
      </x:c>
      <x:c r="I29" s="75" t="str">
        <x:v>구현 완료</x:v>
      </x:c>
      <x:c r="J29" s="38" t="str">
        <x:v>healthcheck 사용</x:v>
      </x:c>
    </x:row>
    <x:row r="30" ht="15" hidden="0" customHeight="1">
      <x:c r="A30" s="82"/>
      <x:c r="B30" s="82"/>
      <x:c r="C30" s="82"/>
      <x:c r="D30" s="82"/>
      <x:c r="E30" s="82"/>
      <x:c r="F30" s="82"/>
      <x:c r="G30" s="82"/>
      <x:c r="H30" s="82"/>
      <x:c r="I30" s="82"/>
      <x:c r="J30" s="82"/>
    </x:row>
    <x:row r="31" ht="15" hidden="0" customHeight="1">
      <x:c r="A31" s="82"/>
      <x:c r="B31" s="82"/>
      <x:c r="C31" s="82"/>
      <x:c r="D31" s="82"/>
      <x:c r="E31" s="82"/>
      <x:c r="F31" s="82"/>
      <x:c r="G31" s="82"/>
      <x:c r="H31" s="82"/>
      <x:c r="I31" s="82"/>
      <x:c r="J31" s="82"/>
    </x:row>
    <x:row r="32" ht="15" hidden="0" customHeight="1">
      <x:c r="A32" s="82"/>
      <x:c r="B32" s="82"/>
      <x:c r="C32" s="82"/>
      <x:c r="D32" s="82"/>
      <x:c r="E32" s="82"/>
      <x:c r="F32" s="82"/>
      <x:c r="G32" s="82"/>
      <x:c r="H32" s="82"/>
      <x:c r="I32" s="82"/>
      <x:c r="J32" s="82"/>
    </x:row>
    <x:row r="33" ht="15" hidden="0" customHeight="1">
      <x:c r="A33" s="82"/>
      <x:c r="B33" s="82"/>
      <x:c r="C33" s="82"/>
      <x:c r="D33" s="82"/>
      <x:c r="E33" s="82"/>
      <x:c r="F33" s="82"/>
      <x:c r="G33" s="82"/>
      <x:c r="H33" s="82"/>
      <x:c r="I33" s="82"/>
      <x:c r="J33" s="82"/>
    </x:row>
    <x:row r="34" ht="15" hidden="0" customHeight="1">
      <x:c r="A34" s="82"/>
      <x:c r="B34" s="82"/>
      <x:c r="C34" s="82"/>
      <x:c r="D34" s="82"/>
      <x:c r="E34" s="82"/>
      <x:c r="F34" s="82"/>
      <x:c r="G34" s="82"/>
      <x:c r="H34" s="82"/>
      <x:c r="I34" s="82"/>
      <x:c r="J34" s="82"/>
    </x:row>
    <x:row r="35" ht="15" hidden="0" customHeight="1">
      <x:c r="A35" s="82"/>
      <x:c r="B35" s="82"/>
      <x:c r="C35" s="82"/>
      <x:c r="D35" s="82"/>
      <x:c r="E35" s="82"/>
      <x:c r="F35" s="82"/>
      <x:c r="G35" s="82"/>
      <x:c r="H35" s="82"/>
      <x:c r="I35" s="82"/>
      <x:c r="J35" s="82"/>
    </x:row>
    <x:row r="36" ht="15" hidden="0" customHeight="1">
      <x:c r="A36" s="82"/>
      <x:c r="B36" s="82"/>
      <x:c r="C36" s="82"/>
      <x:c r="D36" s="82"/>
      <x:c r="E36" s="82"/>
      <x:c r="F36" s="82"/>
      <x:c r="G36" s="82"/>
      <x:c r="H36" s="82"/>
      <x:c r="I36" s="82"/>
      <x:c r="J36" s="82"/>
    </x:row>
    <x:row r="37" ht="15" hidden="0" customHeight="1">
      <x:c r="A37" s="82"/>
      <x:c r="B37" s="82"/>
      <x:c r="C37" s="82"/>
      <x:c r="D37" s="82"/>
      <x:c r="E37" s="82"/>
      <x:c r="F37" s="82"/>
      <x:c r="G37" s="82"/>
      <x:c r="H37" s="82"/>
      <x:c r="I37" s="82"/>
      <x:c r="J37" s="82"/>
    </x:row>
    <x:row r="38" ht="15" hidden="0" customHeight="1">
      <x:c r="A38" s="82"/>
      <x:c r="B38" s="82"/>
      <x:c r="C38" s="82"/>
      <x:c r="D38" s="82"/>
      <x:c r="E38" s="82"/>
      <x:c r="F38" s="82"/>
      <x:c r="G38" s="82"/>
      <x:c r="H38" s="82"/>
      <x:c r="I38" s="82"/>
      <x:c r="J38" s="82"/>
    </x:row>
    <x:row r="39" ht="15" hidden="0" customHeight="1">
      <x:c r="A39" s="82"/>
      <x:c r="B39" s="82"/>
      <x:c r="C39" s="82"/>
      <x:c r="D39" s="82"/>
      <x:c r="E39" s="82"/>
      <x:c r="F39" s="82"/>
      <x:c r="G39" s="82"/>
      <x:c r="H39" s="82"/>
      <x:c r="I39" s="82"/>
      <x:c r="J39" s="82"/>
    </x:row>
    <x:row r="40" ht="15" hidden="0" customHeight="1">
      <x:c r="A40" s="82"/>
      <x:c r="B40" s="82"/>
      <x:c r="C40" s="82"/>
      <x:c r="D40" s="82"/>
      <x:c r="E40" s="82"/>
      <x:c r="F40" s="82"/>
      <x:c r="G40" s="82"/>
      <x:c r="H40" s="82"/>
      <x:c r="I40" s="82"/>
      <x:c r="J40" s="82"/>
    </x:row>
    <x:row r="41" ht="15" hidden="0" customHeight="1">
      <x:c r="A41" s="82"/>
      <x:c r="B41" s="82"/>
      <x:c r="C41" s="82"/>
      <x:c r="D41" s="82"/>
      <x:c r="E41" s="82"/>
      <x:c r="F41" s="82"/>
      <x:c r="G41" s="82"/>
      <x:c r="H41" s="82"/>
      <x:c r="I41" s="82"/>
      <x:c r="J41" s="82"/>
    </x:row>
    <x:row r="42" ht="15" hidden="0" customHeight="1">
      <x:c r="A42" s="82"/>
      <x:c r="B42" s="82"/>
      <x:c r="C42" s="82"/>
      <x:c r="D42" s="82"/>
      <x:c r="E42" s="82"/>
      <x:c r="F42" s="82"/>
      <x:c r="G42" s="82"/>
      <x:c r="H42" s="82"/>
      <x:c r="I42" s="82"/>
      <x:c r="J42" s="82"/>
    </x:row>
    <x:row r="43" ht="15" hidden="0" customHeight="1">
      <x:c r="A43" s="82"/>
      <x:c r="B43" s="82"/>
      <x:c r="C43" s="82"/>
      <x:c r="D43" s="82"/>
      <x:c r="E43" s="82"/>
      <x:c r="F43" s="82"/>
      <x:c r="G43" s="82"/>
      <x:c r="H43" s="82"/>
      <x:c r="I43" s="82"/>
      <x:c r="J43" s="82"/>
    </x:row>
    <x:row r="44" ht="15" hidden="0" customHeight="1">
      <x:c r="A44" s="82"/>
      <x:c r="B44" s="82"/>
      <x:c r="C44" s="82"/>
      <x:c r="D44" s="82"/>
      <x:c r="E44" s="82"/>
      <x:c r="F44" s="82"/>
      <x:c r="G44" s="82"/>
      <x:c r="H44" s="82"/>
      <x:c r="I44" s="82"/>
      <x:c r="J44" s="82"/>
    </x:row>
    <x:row r="45" ht="15" hidden="0" customHeight="1">
      <x:c r="A45" s="82"/>
      <x:c r="B45" s="82"/>
      <x:c r="C45" s="82"/>
      <x:c r="D45" s="82"/>
      <x:c r="E45" s="82"/>
      <x:c r="F45" s="82"/>
      <x:c r="G45" s="82"/>
      <x:c r="H45" s="82"/>
      <x:c r="I45" s="82"/>
      <x:c r="J45" s="82"/>
    </x:row>
    <x:row r="46" ht="15" hidden="0" customHeight="1">
      <x:c r="A46" s="82"/>
      <x:c r="B46" s="82"/>
      <x:c r="C46" s="82"/>
      <x:c r="D46" s="82"/>
      <x:c r="E46" s="82"/>
      <x:c r="F46" s="82"/>
      <x:c r="G46" s="82"/>
      <x:c r="H46" s="82"/>
      <x:c r="I46" s="82"/>
      <x:c r="J46" s="82"/>
    </x:row>
    <x:row r="47" ht="15" hidden="0" customHeight="1">
      <x:c r="A47" s="82"/>
      <x:c r="B47" s="82"/>
      <x:c r="C47" s="82"/>
      <x:c r="D47" s="82"/>
      <x:c r="E47" s="82"/>
      <x:c r="F47" s="82"/>
      <x:c r="G47" s="82"/>
      <x:c r="H47" s="82"/>
      <x:c r="I47" s="82"/>
      <x:c r="J47" s="82"/>
    </x:row>
    <x:row r="48" ht="15" hidden="0" customHeight="1">
      <x:c r="A48" s="82"/>
      <x:c r="B48" s="82"/>
      <x:c r="C48" s="82"/>
      <x:c r="D48" s="82"/>
      <x:c r="E48" s="82"/>
      <x:c r="F48" s="82"/>
      <x:c r="G48" s="82"/>
      <x:c r="H48" s="82"/>
      <x:c r="I48" s="82"/>
      <x:c r="J48" s="82"/>
    </x:row>
    <x:row r="49" ht="15" hidden="0" customHeight="1">
      <x:c r="A49" s="82"/>
      <x:c r="B49" s="82"/>
      <x:c r="C49" s="82"/>
      <x:c r="D49" s="82"/>
      <x:c r="E49" s="82"/>
      <x:c r="F49" s="82"/>
      <x:c r="G49" s="82"/>
      <x:c r="H49" s="82"/>
      <x:c r="I49" s="82"/>
      <x:c r="J49" s="82"/>
    </x:row>
    <x:row r="50" ht="15" hidden="0" customHeight="1">
      <x:c r="A50" s="82"/>
      <x:c r="B50" s="82"/>
      <x:c r="C50" s="82"/>
      <x:c r="D50" s="82"/>
      <x:c r="E50" s="82"/>
      <x:c r="F50" s="82"/>
      <x:c r="G50" s="82"/>
      <x:c r="H50" s="82"/>
      <x:c r="I50" s="82"/>
      <x:c r="J50" s="82"/>
    </x:row>
    <x:row r="51" ht="15" hidden="0" customHeight="1">
      <x:c r="A51" s="82"/>
      <x:c r="B51" s="82"/>
      <x:c r="C51" s="82"/>
      <x:c r="D51" s="82"/>
      <x:c r="E51" s="82"/>
      <x:c r="F51" s="82"/>
      <x:c r="G51" s="82"/>
      <x:c r="H51" s="82"/>
      <x:c r="I51" s="82"/>
      <x:c r="J51" s="82"/>
    </x:row>
    <x:row r="52" ht="15" hidden="0" customHeight="1">
      <x:c r="A52" s="82"/>
      <x:c r="B52" s="82"/>
      <x:c r="C52" s="82"/>
      <x:c r="D52" s="82"/>
      <x:c r="E52" s="82"/>
      <x:c r="F52" s="82"/>
      <x:c r="G52" s="82"/>
      <x:c r="H52" s="82"/>
      <x:c r="I52" s="82"/>
      <x:c r="J52" s="82"/>
    </x:row>
    <x:row r="53" ht="15" hidden="0" customHeight="1">
      <x:c r="A53" s="82"/>
      <x:c r="B53" s="82"/>
      <x:c r="C53" s="82"/>
      <x:c r="D53" s="82"/>
      <x:c r="E53" s="82"/>
      <x:c r="F53" s="82"/>
      <x:c r="G53" s="82"/>
      <x:c r="H53" s="82"/>
      <x:c r="I53" s="82"/>
      <x:c r="J53" s="82"/>
    </x:row>
    <x:row r="54" ht="15" hidden="0" customHeight="1">
      <x:c r="A54" s="82"/>
      <x:c r="B54" s="82"/>
      <x:c r="C54" s="82"/>
      <x:c r="D54" s="82"/>
      <x:c r="E54" s="82"/>
      <x:c r="F54" s="82"/>
      <x:c r="G54" s="82"/>
      <x:c r="H54" s="82"/>
      <x:c r="I54" s="82"/>
      <x:c r="J54" s="82"/>
    </x:row>
    <x:row r="55" ht="15" hidden="0" customHeight="1">
      <x:c r="A55" s="82"/>
      <x:c r="B55" s="82"/>
      <x:c r="C55" s="82"/>
      <x:c r="D55" s="82"/>
      <x:c r="E55" s="82"/>
      <x:c r="F55" s="82"/>
      <x:c r="G55" s="82"/>
      <x:c r="H55" s="82"/>
      <x:c r="I55" s="82"/>
      <x:c r="J55" s="82"/>
    </x:row>
    <x:row r="56" ht="15" hidden="0" customHeight="1">
      <x:c r="A56" s="82"/>
      <x:c r="B56" s="82"/>
      <x:c r="C56" s="82"/>
      <x:c r="D56" s="82"/>
      <x:c r="E56" s="82"/>
      <x:c r="F56" s="82"/>
      <x:c r="G56" s="82"/>
      <x:c r="H56" s="82"/>
      <x:c r="I56" s="82"/>
      <x:c r="J56" s="82"/>
    </x:row>
    <x:row r="57" ht="15" hidden="0" customHeight="1">
      <x:c r="A57" s="82"/>
      <x:c r="B57" s="82"/>
      <x:c r="C57" s="82"/>
      <x:c r="D57" s="82"/>
      <x:c r="E57" s="82"/>
      <x:c r="F57" s="82"/>
      <x:c r="G57" s="82"/>
      <x:c r="H57" s="82"/>
      <x:c r="I57" s="82"/>
      <x:c r="J57" s="82"/>
    </x:row>
    <x:row r="58" ht="15" hidden="0" customHeight="1">
      <x:c r="A58" s="82"/>
      <x:c r="B58" s="82"/>
      <x:c r="C58" s="82"/>
      <x:c r="D58" s="82"/>
      <x:c r="E58" s="82"/>
      <x:c r="F58" s="82"/>
      <x:c r="G58" s="82"/>
      <x:c r="H58" s="82"/>
      <x:c r="I58" s="82"/>
      <x:c r="J58" s="82"/>
    </x:row>
    <x:row r="59" ht="15" hidden="0" customHeight="1">
      <x:c r="A59" s="82"/>
      <x:c r="B59" s="82"/>
      <x:c r="C59" s="82"/>
      <x:c r="D59" s="82"/>
      <x:c r="E59" s="82"/>
      <x:c r="F59" s="82"/>
      <x:c r="G59" s="82"/>
      <x:c r="H59" s="82"/>
      <x:c r="I59" s="82"/>
      <x:c r="J59" s="82"/>
    </x:row>
    <x:row r="60" ht="15" hidden="0" customHeight="1">
      <x:c r="A60" s="82"/>
      <x:c r="B60" s="82"/>
      <x:c r="C60" s="82"/>
      <x:c r="D60" s="82"/>
      <x:c r="E60" s="82"/>
      <x:c r="F60" s="82"/>
      <x:c r="G60" s="82"/>
      <x:c r="H60" s="82"/>
      <x:c r="I60" s="82"/>
      <x:c r="J60" s="82"/>
    </x:row>
    <x:row r="61" ht="15" hidden="0" customHeight="1">
      <x:c r="A61" s="82"/>
      <x:c r="B61" s="82"/>
      <x:c r="C61" s="82"/>
      <x:c r="D61" s="82"/>
      <x:c r="E61" s="82"/>
      <x:c r="F61" s="82"/>
      <x:c r="G61" s="82"/>
      <x:c r="H61" s="82"/>
      <x:c r="I61" s="82"/>
      <x:c r="J61" s="82"/>
    </x:row>
    <x:row r="62" ht="15" hidden="0" customHeight="1">
      <x:c r="A62" s="82"/>
      <x:c r="B62" s="82"/>
      <x:c r="C62" s="82"/>
      <x:c r="D62" s="82"/>
      <x:c r="E62" s="82"/>
      <x:c r="F62" s="82"/>
      <x:c r="G62" s="82"/>
      <x:c r="H62" s="82"/>
      <x:c r="I62" s="82"/>
      <x:c r="J62" s="82"/>
    </x:row>
    <x:row r="63" ht="15" hidden="0" customHeight="1">
      <x:c r="A63" s="82"/>
      <x:c r="B63" s="82"/>
      <x:c r="C63" s="82"/>
      <x:c r="D63" s="82"/>
      <x:c r="E63" s="82"/>
      <x:c r="F63" s="82"/>
      <x:c r="G63" s="82"/>
      <x:c r="H63" s="82"/>
      <x:c r="I63" s="82"/>
      <x:c r="J63" s="82"/>
    </x:row>
    <x:row r="64" ht="15" hidden="0" customHeight="1">
      <x:c r="A64" s="82"/>
      <x:c r="B64" s="82"/>
      <x:c r="C64" s="82"/>
      <x:c r="D64" s="82"/>
      <x:c r="E64" s="82"/>
      <x:c r="F64" s="82"/>
      <x:c r="G64" s="82"/>
      <x:c r="H64" s="82"/>
      <x:c r="I64" s="82"/>
      <x:c r="J64" s="82"/>
    </x:row>
    <x:row r="65" ht="15" hidden="0" customHeight="1">
      <x:c r="A65" s="82"/>
      <x:c r="B65" s="82"/>
      <x:c r="C65" s="82"/>
      <x:c r="D65" s="82"/>
      <x:c r="E65" s="82"/>
      <x:c r="F65" s="82"/>
      <x:c r="G65" s="82"/>
      <x:c r="H65" s="82"/>
      <x:c r="I65" s="82"/>
      <x:c r="J65" s="82"/>
    </x:row>
    <x:row r="66" ht="15" hidden="0" customHeight="1">
      <x:c r="A66" s="82"/>
      <x:c r="B66" s="82"/>
      <x:c r="C66" s="82"/>
      <x:c r="D66" s="82"/>
      <x:c r="E66" s="82"/>
      <x:c r="F66" s="82"/>
      <x:c r="G66" s="82"/>
      <x:c r="H66" s="82"/>
      <x:c r="I66" s="82"/>
      <x:c r="J66" s="82"/>
    </x:row>
    <x:row r="67" ht="15" hidden="0" customHeight="1">
      <x:c r="A67" s="82"/>
      <x:c r="B67" s="82"/>
      <x:c r="C67" s="82"/>
      <x:c r="D67" s="82"/>
      <x:c r="E67" s="82"/>
      <x:c r="F67" s="82"/>
      <x:c r="G67" s="82"/>
      <x:c r="H67" s="82"/>
      <x:c r="I67" s="82"/>
      <x:c r="J67" s="82"/>
    </x:row>
    <x:row r="68" ht="15" hidden="0" customHeight="1">
      <x:c r="A68" s="82"/>
      <x:c r="B68" s="82"/>
      <x:c r="C68" s="82"/>
      <x:c r="D68" s="82"/>
      <x:c r="E68" s="82"/>
      <x:c r="F68" s="82"/>
      <x:c r="G68" s="82"/>
      <x:c r="H68" s="82"/>
      <x:c r="I68" s="82"/>
      <x:c r="J68" s="82"/>
    </x:row>
    <x:row r="69" ht="15" hidden="0" customHeight="1">
      <x:c r="A69" s="82"/>
      <x:c r="B69" s="82"/>
      <x:c r="C69" s="82"/>
      <x:c r="D69" s="82"/>
      <x:c r="E69" s="82"/>
      <x:c r="F69" s="82"/>
      <x:c r="G69" s="82"/>
      <x:c r="H69" s="82"/>
      <x:c r="I69" s="82"/>
      <x:c r="J69" s="82"/>
    </x:row>
    <x:row r="70" ht="15" hidden="0" customHeight="1">
      <x:c r="A70" s="82"/>
      <x:c r="B70" s="82"/>
      <x:c r="C70" s="82"/>
      <x:c r="D70" s="82"/>
      <x:c r="E70" s="82"/>
      <x:c r="F70" s="82"/>
      <x:c r="G70" s="82"/>
      <x:c r="H70" s="82"/>
      <x:c r="I70" s="82"/>
      <x:c r="J70" s="82"/>
    </x:row>
    <x:row r="71" ht="15" hidden="0" customHeight="1">
      <x:c r="A71" s="82"/>
      <x:c r="B71" s="82"/>
      <x:c r="C71" s="82"/>
      <x:c r="D71" s="82"/>
      <x:c r="E71" s="82"/>
      <x:c r="F71" s="82"/>
      <x:c r="G71" s="82"/>
      <x:c r="H71" s="82"/>
      <x:c r="I71" s="82"/>
      <x:c r="J71" s="82"/>
    </x:row>
    <x:row r="72" ht="15" hidden="0" customHeight="1">
      <x:c r="A72" s="82"/>
      <x:c r="B72" s="82"/>
      <x:c r="C72" s="82"/>
      <x:c r="D72" s="82"/>
      <x:c r="E72" s="82"/>
      <x:c r="F72" s="82"/>
      <x:c r="G72" s="82"/>
      <x:c r="H72" s="82"/>
      <x:c r="I72" s="82"/>
      <x:c r="J72" s="82"/>
    </x:row>
    <x:row r="73" ht="15" hidden="0" customHeight="1">
      <x:c r="A73" s="82"/>
      <x:c r="B73" s="82"/>
      <x:c r="C73" s="82"/>
      <x:c r="D73" s="82"/>
      <x:c r="E73" s="82"/>
      <x:c r="F73" s="82"/>
      <x:c r="G73" s="82"/>
      <x:c r="H73" s="82"/>
      <x:c r="I73" s="82"/>
      <x:c r="J73" s="82"/>
    </x:row>
    <x:row r="74" ht="15" hidden="0" customHeight="1">
      <x:c r="A74" s="82"/>
      <x:c r="B74" s="82"/>
      <x:c r="C74" s="82"/>
      <x:c r="D74" s="82"/>
      <x:c r="E74" s="82"/>
      <x:c r="F74" s="82"/>
      <x:c r="G74" s="82"/>
      <x:c r="H74" s="82"/>
      <x:c r="I74" s="82"/>
      <x:c r="J74" s="82"/>
    </x:row>
    <x:row r="75" ht="15" hidden="0" customHeight="1">
      <x:c r="A75" s="82"/>
      <x:c r="B75" s="82"/>
      <x:c r="C75" s="82"/>
      <x:c r="D75" s="82"/>
      <x:c r="E75" s="82"/>
      <x:c r="F75" s="82"/>
      <x:c r="G75" s="82"/>
      <x:c r="H75" s="82"/>
      <x:c r="I75" s="82"/>
      <x:c r="J75" s="82"/>
    </x:row>
    <x:row r="76" ht="15" hidden="0" customHeight="1">
      <x:c r="A76" s="82"/>
      <x:c r="B76" s="82"/>
      <x:c r="C76" s="82"/>
      <x:c r="D76" s="82"/>
      <x:c r="E76" s="82"/>
      <x:c r="F76" s="82"/>
      <x:c r="G76" s="82"/>
      <x:c r="H76" s="82"/>
      <x:c r="I76" s="82"/>
      <x:c r="J76" s="82"/>
    </x:row>
    <x:row r="77" ht="15" hidden="0" customHeight="1">
      <x:c r="A77" s="82"/>
      <x:c r="B77" s="82"/>
      <x:c r="C77" s="82"/>
      <x:c r="D77" s="82"/>
      <x:c r="E77" s="82"/>
      <x:c r="F77" s="82"/>
      <x:c r="G77" s="82"/>
      <x:c r="H77" s="82"/>
      <x:c r="I77" s="82"/>
      <x:c r="J77" s="82"/>
    </x:row>
    <x:row r="78" ht="15" hidden="0" customHeight="1">
      <x:c r="A78" s="82"/>
      <x:c r="B78" s="82"/>
      <x:c r="C78" s="82"/>
      <x:c r="D78" s="82"/>
      <x:c r="E78" s="82"/>
      <x:c r="F78" s="82"/>
      <x:c r="G78" s="82"/>
      <x:c r="H78" s="82"/>
      <x:c r="I78" s="82"/>
      <x:c r="J78" s="82"/>
    </x:row>
    <x:row r="79" ht="15" hidden="0" customHeight="1">
      <x:c r="A79" s="82"/>
      <x:c r="B79" s="82"/>
      <x:c r="C79" s="82"/>
      <x:c r="D79" s="82"/>
      <x:c r="E79" s="82"/>
      <x:c r="F79" s="82"/>
      <x:c r="G79" s="82"/>
      <x:c r="H79" s="82"/>
      <x:c r="I79" s="82"/>
      <x:c r="J79" s="82"/>
    </x:row>
    <x:row r="80" ht="15" hidden="0" customHeight="1">
      <x:c r="A80" s="82"/>
      <x:c r="B80" s="82"/>
      <x:c r="C80" s="82"/>
      <x:c r="D80" s="82"/>
      <x:c r="E80" s="82"/>
      <x:c r="F80" s="82"/>
      <x:c r="G80" s="82"/>
      <x:c r="H80" s="82"/>
      <x:c r="I80" s="82"/>
      <x:c r="J80" s="82"/>
    </x:row>
    <x:row r="81" ht="15" hidden="0" customHeight="1">
      <x:c r="A81" s="82"/>
      <x:c r="B81" s="82"/>
      <x:c r="C81" s="82"/>
      <x:c r="D81" s="82"/>
      <x:c r="E81" s="82"/>
      <x:c r="F81" s="82"/>
      <x:c r="G81" s="82"/>
      <x:c r="H81" s="82"/>
      <x:c r="I81" s="82"/>
      <x:c r="J81" s="82"/>
    </x:row>
    <x:row r="82" ht="15" hidden="0" customHeight="1">
      <x:c r="A82" s="82"/>
      <x:c r="B82" s="82"/>
      <x:c r="C82" s="82"/>
      <x:c r="D82" s="82"/>
      <x:c r="E82" s="82"/>
      <x:c r="F82" s="82"/>
      <x:c r="G82" s="82"/>
      <x:c r="H82" s="82"/>
      <x:c r="I82" s="82"/>
      <x:c r="J82" s="82"/>
    </x:row>
    <x:row r="83" ht="15" hidden="0" customHeight="1">
      <x:c r="A83" s="82"/>
      <x:c r="B83" s="82"/>
      <x:c r="C83" s="82"/>
      <x:c r="D83" s="82"/>
      <x:c r="E83" s="82"/>
      <x:c r="F83" s="82"/>
      <x:c r="G83" s="82"/>
      <x:c r="H83" s="82"/>
      <x:c r="I83" s="82"/>
      <x:c r="J83" s="82"/>
    </x:row>
    <x:row r="84" ht="15" hidden="0" customHeight="1">
      <x:c r="A84" s="82"/>
      <x:c r="B84" s="82"/>
      <x:c r="C84" s="82"/>
      <x:c r="D84" s="82"/>
      <x:c r="E84" s="82"/>
      <x:c r="F84" s="82"/>
      <x:c r="G84" s="82"/>
      <x:c r="H84" s="82"/>
      <x:c r="I84" s="82"/>
      <x:c r="J84" s="82"/>
    </x:row>
    <x:row r="85" ht="15" hidden="0" customHeight="1">
      <x:c r="A85" s="82"/>
      <x:c r="B85" s="82"/>
      <x:c r="C85" s="82"/>
      <x:c r="D85" s="82"/>
      <x:c r="E85" s="82"/>
      <x:c r="F85" s="82"/>
      <x:c r="G85" s="82"/>
      <x:c r="H85" s="82"/>
      <x:c r="I85" s="82"/>
      <x:c r="J85" s="82"/>
    </x:row>
    <x:row r="86" ht="15" hidden="0" customHeight="1">
      <x:c r="A86" s="82"/>
      <x:c r="B86" s="82"/>
      <x:c r="C86" s="82"/>
      <x:c r="D86" s="82"/>
      <x:c r="E86" s="82"/>
      <x:c r="F86" s="82"/>
      <x:c r="G86" s="82"/>
      <x:c r="H86" s="82"/>
      <x:c r="I86" s="82"/>
      <x:c r="J86" s="82"/>
    </x:row>
    <x:row r="87" ht="15" hidden="0" customHeight="1">
      <x:c r="A87" s="82"/>
      <x:c r="B87" s="82"/>
      <x:c r="C87" s="82"/>
      <x:c r="D87" s="82"/>
      <x:c r="E87" s="82"/>
      <x:c r="F87" s="82"/>
      <x:c r="G87" s="82"/>
      <x:c r="H87" s="82"/>
      <x:c r="I87" s="82"/>
      <x:c r="J87" s="82"/>
    </x:row>
    <x:row r="88" ht="15" hidden="0" customHeight="1">
      <x:c r="A88" s="82"/>
      <x:c r="B88" s="82"/>
      <x:c r="C88" s="82"/>
      <x:c r="D88" s="82"/>
      <x:c r="E88" s="82"/>
      <x:c r="F88" s="82"/>
      <x:c r="G88" s="82"/>
      <x:c r="H88" s="82"/>
      <x:c r="I88" s="82"/>
      <x:c r="J88" s="82"/>
    </x:row>
    <x:row r="89" ht="15" hidden="0" customHeight="1">
      <x:c r="A89" s="82"/>
      <x:c r="B89" s="82"/>
      <x:c r="C89" s="82"/>
      <x:c r="D89" s="82"/>
      <x:c r="E89" s="82"/>
      <x:c r="F89" s="82"/>
      <x:c r="G89" s="82"/>
      <x:c r="H89" s="82"/>
      <x:c r="I89" s="82"/>
      <x:c r="J89" s="82"/>
    </x:row>
    <x:row r="90" ht="15" hidden="0" customHeight="1">
      <x:c r="A90" s="82"/>
      <x:c r="B90" s="82"/>
      <x:c r="C90" s="82"/>
      <x:c r="D90" s="82"/>
      <x:c r="E90" s="82"/>
      <x:c r="F90" s="82"/>
      <x:c r="G90" s="82"/>
      <x:c r="H90" s="82"/>
      <x:c r="I90" s="82"/>
      <x:c r="J90" s="82"/>
    </x:row>
    <x:row r="91" ht="15" hidden="0" customHeight="1">
      <x:c r="A91" s="82"/>
      <x:c r="B91" s="82"/>
      <x:c r="C91" s="82"/>
      <x:c r="D91" s="82"/>
      <x:c r="E91" s="82"/>
      <x:c r="F91" s="82"/>
      <x:c r="G91" s="82"/>
      <x:c r="H91" s="82"/>
      <x:c r="I91" s="82"/>
      <x:c r="J91" s="82"/>
    </x:row>
    <x:row r="92" ht="15" hidden="0" customHeight="1">
      <x:c r="A92" s="82"/>
      <x:c r="B92" s="82"/>
      <x:c r="C92" s="82"/>
      <x:c r="D92" s="82"/>
      <x:c r="E92" s="82"/>
      <x:c r="F92" s="82"/>
      <x:c r="G92" s="82"/>
      <x:c r="H92" s="82"/>
      <x:c r="I92" s="82"/>
      <x:c r="J92" s="82"/>
    </x:row>
    <x:row r="93" ht="15" hidden="0" customHeight="1">
      <x:c r="A93" s="82"/>
      <x:c r="B93" s="82"/>
      <x:c r="C93" s="82"/>
      <x:c r="D93" s="82"/>
      <x:c r="E93" s="82"/>
      <x:c r="F93" s="82"/>
      <x:c r="G93" s="82"/>
      <x:c r="H93" s="82"/>
      <x:c r="I93" s="82"/>
      <x:c r="J93" s="82"/>
    </x:row>
    <x:row r="94" ht="15" hidden="0" customHeight="1">
      <x:c r="A94" s="82"/>
      <x:c r="B94" s="82"/>
      <x:c r="C94" s="82"/>
      <x:c r="D94" s="82"/>
      <x:c r="E94" s="82"/>
      <x:c r="F94" s="82"/>
      <x:c r="G94" s="82"/>
      <x:c r="H94" s="82"/>
      <x:c r="I94" s="82"/>
      <x:c r="J94" s="82"/>
    </x:row>
    <x:row r="95" ht="15" hidden="0" customHeight="1">
      <x:c r="A95" s="82"/>
      <x:c r="B95" s="82"/>
      <x:c r="C95" s="82"/>
      <x:c r="D95" s="82"/>
      <x:c r="E95" s="82"/>
      <x:c r="F95" s="82"/>
      <x:c r="G95" s="82"/>
      <x:c r="H95" s="82"/>
      <x:c r="I95" s="82"/>
      <x:c r="J95" s="82"/>
    </x:row>
    <x:row r="96" ht="15" hidden="0" customHeight="1">
      <x:c r="A96" s="82"/>
      <x:c r="B96" s="82"/>
      <x:c r="C96" s="82"/>
      <x:c r="D96" s="82"/>
      <x:c r="E96" s="82"/>
      <x:c r="F96" s="82"/>
      <x:c r="G96" s="82"/>
      <x:c r="H96" s="82"/>
      <x:c r="I96" s="82"/>
      <x:c r="J96" s="82"/>
    </x:row>
    <x:row r="97" ht="15" hidden="0" customHeight="1">
      <x:c r="A97" s="82"/>
      <x:c r="B97" s="82"/>
      <x:c r="C97" s="82"/>
      <x:c r="D97" s="82"/>
      <x:c r="E97" s="82"/>
      <x:c r="F97" s="82"/>
      <x:c r="G97" s="82"/>
      <x:c r="H97" s="82"/>
      <x:c r="I97" s="82"/>
      <x:c r="J97" s="82"/>
    </x:row>
    <x:row r="98" ht="15" hidden="0" customHeight="1">
      <x:c r="A98" s="82"/>
      <x:c r="B98" s="82"/>
      <x:c r="C98" s="82"/>
      <x:c r="D98" s="82"/>
      <x:c r="E98" s="82"/>
      <x:c r="F98" s="82"/>
      <x:c r="G98" s="82"/>
      <x:c r="H98" s="82"/>
      <x:c r="I98" s="82"/>
      <x:c r="J98" s="82"/>
    </x:row>
    <x:row r="99" ht="15" hidden="0" customHeight="1">
      <x:c r="A99" s="82"/>
      <x:c r="B99" s="82"/>
      <x:c r="C99" s="82"/>
      <x:c r="D99" s="82"/>
      <x:c r="E99" s="82"/>
      <x:c r="F99" s="82"/>
      <x:c r="G99" s="82"/>
      <x:c r="H99" s="82"/>
      <x:c r="I99" s="82"/>
      <x:c r="J99" s="82"/>
    </x:row>
    <x:row r="100" ht="15" hidden="0" customHeight="1">
      <x:c r="A100" s="82"/>
      <x:c r="B100" s="82"/>
      <x:c r="C100" s="82"/>
      <x:c r="D100" s="82"/>
      <x:c r="E100" s="82"/>
      <x:c r="F100" s="82"/>
      <x:c r="G100" s="82"/>
      <x:c r="H100" s="82"/>
      <x:c r="I100" s="82"/>
      <x:c r="J100" s="82"/>
    </x:row>
  </x:sheetData>
  <x:mergeCells>
    <x:mergeCell ref="A1:J1"/>
  </x:mergeCells>
  <x:conditionalFormatting sqref="I3:I100">
    <x:cfRule type="expression" dxfId="0" priority="1">
      <x:formula>I3="구현 완료"</x:formula>
    </x:cfRule>
  </x:conditionalFormatting>
  <x:conditionalFormatting sqref="F3:F100">
    <x:cfRule type="expression" dxfId="1" priority="2">
      <x:formula>F3="Must"</x:formula>
    </x:cfRule>
    <x:cfRule type="expression" dxfId="2" priority="3">
      <x:formula>F3="Should"</x:formula>
    </x:cfRule>
    <x:cfRule type="expression" dxfId="3" priority="4">
      <x:formula>F3="Could"</x:formula>
    </x:cfRule>
  </x:conditionalFormatting>
  <x:dataValidations count="2">
    <x:dataValidation type="list" sqref="F3:F100">
      <x:formula1>"Must,Should,Could"</x:formula1>
    </x:dataValidation>
    <x:dataValidation type="list" sqref="I3:I100">
      <x:formula1>"미구현,구현 중,구현 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9a04e3432b49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25" hidden="0" customWidth="1"/>
    <x:col min="5" max="5" width="38" hidden="0" customWidth="1"/>
    <x:col min="6" max="6" width="38" hidden="0" customWidth="1"/>
    <x:col min="7" max="7" width="34" hidden="0" customWidth="1"/>
    <x:col min="8" max="8" width="34" hidden="0" customWidth="1"/>
    <x:col min="9" max="9" width="30" hidden="0" customWidth="1"/>
  </x:cols>
  <x:sheetData>
    <x:row r="1" ht="86.4000015258789" hidden="0" customHeight="1">
      <x:c r="A1" s="80" t="str">
        <x:v>화면 및 사용자 흐름 정의</x:v>
      </x:c>
      <x:c r="B1" s="80"/>
      <x:c r="C1" s="80"/>
      <x:c r="D1" s="80"/>
      <x:c r="E1" s="80"/>
      <x:c r="F1" s="80"/>
      <x:c r="G1" s="80"/>
      <x:c r="H1" s="80"/>
      <x:c r="I1" s="80"/>
      <x:c r="J1" s="82"/>
    </x:row>
    <x:row r="2" ht="15" hidden="0" customHeight="1">
      <x:c r="A2" s="68" t="str">
        <x:v>화면 ID</x:v>
      </x:c>
      <x:c r="B2" s="68" t="str">
        <x:v>화면명</x:v>
      </x:c>
      <x:c r="C2" s="68" t="str">
        <x:v>사용자</x:v>
      </x:c>
      <x:c r="D2" s="68" t="str">
        <x:v>진입 조건</x:v>
      </x:c>
      <x:c r="E2" s="68" t="str">
        <x:v>주요 UI</x:v>
      </x:c>
      <x:c r="F2" s="68" t="str">
        <x:v>주요 동작</x:v>
      </x:c>
      <x:c r="G2" s="68" t="str">
        <x:v>연동 API</x:v>
      </x:c>
      <x:c r="H2" s="68" t="str">
        <x:v>성공 흐름</x:v>
      </x:c>
      <x:c r="I2" s="68" t="str">
        <x:v>예외 흐름</x:v>
      </x:c>
      <x:c r="J2" s="82"/>
    </x:row>
    <x:row r="3" ht="15" hidden="0" customHeight="1">
      <x:c r="A3" s="75" t="str">
        <x:v>SCR-001</x:v>
      </x:c>
      <x:c r="B3" s="75" t="str">
        <x:v>로그인/회원가입</x:v>
      </x:c>
      <x:c r="C3" s="75" t="str">
        <x:v>비회원</x:v>
      </x:c>
      <x:c r="D3" s="38" t="str">
        <x:v>서비스 접속</x:v>
      </x:c>
      <x:c r="E3" s="38" t="str">
        <x:v>사용자 로그인, 회원가입, 관리자 로그인 탭</x:v>
      </x:c>
      <x:c r="F3" s="38" t="str">
        <x:v>계정 생성 또는 역할별 로그인</x:v>
      </x:c>
      <x:c r="G3" s="38" t="str">
        <x:v>POST /api/users; POST /api/sessions</x:v>
      </x:c>
      <x:c r="H3" s="38" t="str">
        <x:v>로그인 성공 시 역할별 대시보드 이동</x:v>
      </x:c>
      <x:c r="I3" s="38" t="str">
        <x:v>인증 실패 메시지</x:v>
      </x:c>
      <x:c r="J3" s="82"/>
    </x:row>
    <x:row r="4" ht="15" hidden="0" customHeight="1">
      <x:c r="A4" s="75" t="str">
        <x:v>SCR-002</x:v>
      </x:c>
      <x:c r="B4" s="75" t="str">
        <x:v>사용자 대시보드</x:v>
      </x:c>
      <x:c r="C4" s="75" t="str">
        <x:v>사용자</x:v>
      </x:c>
      <x:c r="D4" s="38" t="str">
        <x:v>사용자 로그인 성공</x:v>
      </x:c>
      <x:c r="E4" s="38" t="str">
        <x:v>측정 입력 폼, 날짜 필터, 기록/평균 전환</x:v>
      </x:c>
      <x:c r="F4" s="38" t="str">
        <x:v>등록, 검색, 페이지 이동, 상세, 수정, 삭제, 평균 확인</x:v>
      </x:c>
      <x:c r="G4" s="38" t="str">
        <x:v>/api/measurements; /api/search; /api/stats</x:v>
      </x:c>
      <x:c r="H4" s="38" t="str">
        <x:v>작업 후 목록과 평균 자동 갱신</x:v>
      </x:c>
      <x:c r="I4" s="38" t="str">
        <x:v>검증 오류 및 권한 오류</x:v>
      </x:c>
      <x:c r="J4" s="82"/>
    </x:row>
    <x:row r="5" ht="15" hidden="0" customHeight="1">
      <x:c r="A5" s="75" t="str">
        <x:v>SCR-003</x:v>
      </x:c>
      <x:c r="B5" s="75" t="str">
        <x:v>측정 상세 모달</x:v>
      </x:c>
      <x:c r="C5" s="75" t="str">
        <x:v>사용자/관리자</x:v>
      </x:c>
      <x:c r="D5" s="38" t="str">
        <x:v>날짜 또는 상세 클릭</x:v>
      </x:c>
      <x:c r="E5" s="38" t="str">
        <x:v>입력 수치, BMI·혈압·혈당 카드, 종합 결과, 경고</x:v>
      </x:c>
      <x:c r="F5" s="38" t="str">
        <x:v>한 건 상세 확인</x:v>
      </x:c>
      <x:c r="G5" s="38" t="str">
        <x:v>GET /api/measurements/{id}</x:v>
      </x:c>
      <x:c r="H5" s="38" t="str">
        <x:v>권한 허용 시 상세 표시</x:v>
      </x:c>
      <x:c r="I5" s="38" t="str">
        <x:v>다른 사용자 접근 403</x:v>
      </x:c>
      <x:c r="J5" s="82"/>
    </x:row>
    <x:row r="6" ht="15" hidden="0" customHeight="1">
      <x:c r="A6" s="75" t="str">
        <x:v>SCR-004</x:v>
      </x:c>
      <x:c r="B6" s="75" t="str">
        <x:v>측정 수정 모달</x:v>
      </x:c>
      <x:c r="C6" s="75" t="str">
        <x:v>사용자</x:v>
      </x:c>
      <x:c r="D6" s="38" t="str">
        <x:v>본인 기록 수정 클릭</x:v>
      </x:c>
      <x:c r="E6" s="38" t="str">
        <x:v>기존 값이 채워진 전체 입력 폼</x:v>
      </x:c>
      <x:c r="F6" s="38" t="str">
        <x:v>PUT 전체 수정</x:v>
      </x:c>
      <x:c r="G6" s="38" t="str">
        <x:v>PUT /api/measurements/{id}</x:v>
      </x:c>
      <x:c r="H6" s="38" t="str">
        <x:v>재검증·재계산 후 저장</x:v>
      </x:c>
      <x:c r="I6" s="38" t="str">
        <x:v>날짜 중복, 인접 기록 급변</x:v>
      </x:c>
      <x:c r="J6" s="82"/>
    </x:row>
    <x:row r="7" ht="24" hidden="0" customHeight="1">
      <x:c r="A7" s="75" t="str">
        <x:v>SCR-005</x:v>
      </x:c>
      <x:c r="B7" s="75" t="str">
        <x:v>관리자 대시보드</x:v>
      </x:c>
      <x:c r="C7" s="75" t="str">
        <x:v>관리자</x:v>
      </x:c>
      <x:c r="D7" s="38" t="str">
        <x:v>관리자 로그인 성공</x:v>
      </x:c>
      <x:c r="E7" s="38" t="str">
        <x:v>사용자 검색, 사용자 목록, 기록/평균 전환</x:v>
      </x:c>
      <x:c r="F7" s="38" t="str">
        <x:v>사용자 선택, 기록 조회, 상세, 삭제</x:v>
      </x:c>
      <x:c r="G7" s="38" t="str">
        <x:v>GET /api/users; GET /api/users/{id}/measurements</x:v>
      </x:c>
      <x:c r="H7" s="38" t="str">
        <x:v>사용자별 기록과 평균 표시</x:v>
      </x:c>
      <x:c r="I7" s="38" t="str">
        <x:v>관리자 수정 기능 없음</x:v>
      </x:c>
      <x:c r="J7" s="82"/>
    </x:row>
    <x:row r="8" ht="15" hidden="0" customHeight="1">
      <x:c r="A8" s="82"/>
      <x:c r="B8" s="82"/>
      <x:c r="C8" s="82"/>
      <x:c r="D8" s="82"/>
      <x:c r="E8" s="82"/>
      <x:c r="F8" s="82"/>
      <x:c r="G8" s="82"/>
      <x:c r="H8" s="82"/>
      <x:c r="I8" s="82"/>
      <x:c r="J8" s="82"/>
    </x:row>
    <x:row r="9" ht="15" hidden="0" customHeight="1">
      <x:c r="A9" s="82"/>
      <x:c r="B9" s="82"/>
      <x:c r="C9" s="82"/>
      <x:c r="D9" s="82"/>
      <x:c r="E9" s="82"/>
      <x:c r="F9" s="82"/>
      <x:c r="G9" s="82"/>
      <x:c r="H9" s="82"/>
      <x:c r="I9" s="82"/>
      <x:c r="J9" s="82"/>
    </x:row>
    <x:row r="10" ht="15" hidden="0" customHeight="1">
      <x:c r="A10" s="82"/>
      <x:c r="B10" s="82"/>
      <x:c r="C10" s="82"/>
      <x:c r="D10" s="82"/>
      <x:c r="E10" s="82"/>
      <x:c r="F10" s="82"/>
      <x:c r="G10" s="82"/>
      <x:c r="H10" s="82"/>
      <x:c r="I10" s="82"/>
      <x:c r="J10" s="82"/>
    </x:row>
    <x:row r="11" ht="15" hidden="0" customHeight="1">
      <x:c r="A11" s="82"/>
      <x:c r="B11" s="82"/>
      <x:c r="C11" s="82"/>
      <x:c r="D11" s="82"/>
      <x:c r="E11" s="82"/>
      <x:c r="F11" s="82"/>
      <x:c r="G11" s="82"/>
      <x:c r="H11" s="82"/>
      <x:c r="I11" s="82"/>
      <x:c r="J11" s="82"/>
    </x:row>
    <x:row r="12" ht="15" hidden="0" customHeight="1">
      <x:c r="A12" s="82"/>
      <x:c r="B12" s="82"/>
      <x:c r="C12" s="82"/>
      <x:c r="D12" s="82"/>
      <x:c r="E12" s="82"/>
      <x:c r="F12" s="82"/>
      <x:c r="G12" s="82"/>
      <x:c r="H12" s="82"/>
      <x:c r="I12" s="82"/>
      <x:c r="J12" s="82"/>
    </x:row>
    <x:row r="13" ht="15" hidden="0" customHeight="1">
      <x:c r="A13" s="82"/>
      <x:c r="B13" s="82"/>
      <x:c r="C13" s="82"/>
      <x:c r="D13" s="82"/>
      <x:c r="E13" s="82"/>
      <x:c r="F13" s="82"/>
      <x:c r="G13" s="82"/>
      <x:c r="H13" s="82"/>
      <x:c r="I13" s="82"/>
      <x:c r="J13" s="82"/>
    </x:row>
    <x:row r="14" ht="15" hidden="0" customHeight="1">
      <x:c r="A14" s="82"/>
      <x:c r="B14" s="82"/>
      <x:c r="C14" s="82"/>
      <x:c r="D14" s="82"/>
      <x:c r="E14" s="82"/>
      <x:c r="F14" s="82"/>
      <x:c r="G14" s="82"/>
      <x:c r="H14" s="82"/>
      <x:c r="I14" s="82"/>
      <x:c r="J14" s="82"/>
    </x:row>
    <x:row r="15" ht="15" hidden="0" customHeight="1">
      <x:c r="A15" s="82"/>
      <x:c r="B15" s="82"/>
      <x:c r="C15" s="82"/>
      <x:c r="D15" s="82"/>
      <x:c r="E15" s="82"/>
      <x:c r="F15" s="82"/>
      <x:c r="G15" s="82"/>
      <x:c r="H15" s="82"/>
      <x:c r="I15" s="82"/>
      <x:c r="J15" s="82"/>
    </x:row>
    <x:row r="16" ht="15" hidden="0" customHeight="1">
      <x:c r="A16" s="82"/>
      <x:c r="B16" s="82"/>
      <x:c r="C16" s="82"/>
      <x:c r="D16" s="82"/>
      <x:c r="E16" s="82"/>
      <x:c r="F16" s="82"/>
      <x:c r="G16" s="82"/>
      <x:c r="H16" s="82"/>
      <x:c r="I16" s="82"/>
      <x:c r="J16" s="82"/>
    </x:row>
    <x:row r="17" ht="15" hidden="0" customHeight="1">
      <x:c r="A17" s="82"/>
      <x:c r="B17" s="82"/>
      <x:c r="C17" s="82"/>
      <x:c r="D17" s="82"/>
      <x:c r="E17" s="82"/>
      <x:c r="F17" s="82"/>
      <x:c r="G17" s="82"/>
      <x:c r="H17" s="82"/>
      <x:c r="I17" s="82"/>
      <x:c r="J17" s="82"/>
    </x:row>
    <x:row r="18" ht="15" hidden="0" customHeight="1">
      <x:c r="A18" s="82"/>
      <x:c r="B18" s="82"/>
      <x:c r="C18" s="82"/>
      <x:c r="D18" s="82"/>
      <x:c r="E18" s="82"/>
      <x:c r="F18" s="82"/>
      <x:c r="G18" s="82"/>
      <x:c r="H18" s="82"/>
      <x:c r="I18" s="82"/>
      <x:c r="J18" s="82"/>
    </x:row>
    <x:row r="19" ht="15" hidden="0" customHeight="1">
      <x:c r="A19" s="82"/>
      <x:c r="B19" s="82"/>
      <x:c r="C19" s="82"/>
      <x:c r="D19" s="82"/>
      <x:c r="E19" s="82"/>
      <x:c r="F19" s="82"/>
      <x:c r="G19" s="82"/>
      <x:c r="H19" s="82"/>
      <x:c r="I19" s="82"/>
      <x:c r="J19" s="82"/>
    </x:row>
    <x:row r="20" ht="15" hidden="0" customHeight="1">
      <x:c r="A20" s="82"/>
      <x:c r="B20" s="82"/>
      <x:c r="C20" s="82"/>
      <x:c r="D20" s="82"/>
      <x:c r="E20" s="82"/>
      <x:c r="F20" s="82"/>
      <x:c r="G20" s="82"/>
      <x:c r="H20" s="82"/>
      <x:c r="I20" s="82"/>
      <x:c r="J20" s="82"/>
    </x:row>
    <x:row r="21" ht="15" hidden="0" customHeight="1">
      <x:c r="A21" s="82"/>
      <x:c r="B21" s="82"/>
      <x:c r="C21" s="82"/>
      <x:c r="D21" s="82"/>
      <x:c r="E21" s="82"/>
      <x:c r="F21" s="82"/>
      <x:c r="G21" s="82"/>
      <x:c r="H21" s="82"/>
      <x:c r="I21" s="82"/>
      <x:c r="J21" s="82"/>
    </x:row>
    <x:row r="22" ht="15" hidden="0" customHeight="1">
      <x:c r="A22" s="82"/>
      <x:c r="B22" s="82"/>
      <x:c r="C22" s="82"/>
      <x:c r="D22" s="82"/>
      <x:c r="E22" s="82"/>
      <x:c r="F22" s="82"/>
      <x:c r="G22" s="82"/>
      <x:c r="H22" s="82"/>
      <x:c r="I22" s="82"/>
      <x:c r="J22" s="82"/>
    </x:row>
    <x:row r="23" ht="15" hidden="0" customHeight="1">
      <x:c r="A23" s="82"/>
      <x:c r="B23" s="82"/>
      <x:c r="C23" s="82"/>
      <x:c r="D23" s="82"/>
      <x:c r="E23" s="82"/>
      <x:c r="F23" s="82"/>
      <x:c r="G23" s="82"/>
      <x:c r="H23" s="82"/>
      <x:c r="I23" s="82"/>
      <x:c r="J23" s="82"/>
    </x:row>
    <x:row r="24" ht="15" hidden="0" customHeight="1">
      <x:c r="A24" s="82"/>
      <x:c r="B24" s="82"/>
      <x:c r="C24" s="82"/>
      <x:c r="D24" s="82"/>
      <x:c r="E24" s="82"/>
      <x:c r="F24" s="82"/>
      <x:c r="G24" s="82"/>
      <x:c r="H24" s="82"/>
      <x:c r="I24" s="82"/>
      <x:c r="J24" s="82"/>
    </x:row>
    <x:row r="25" ht="15" hidden="0" customHeight="1">
      <x:c r="A25" s="82"/>
      <x:c r="B25" s="82"/>
      <x:c r="C25" s="82"/>
      <x:c r="D25" s="82"/>
      <x:c r="E25" s="82"/>
      <x:c r="F25" s="82"/>
      <x:c r="G25" s="82"/>
      <x:c r="H25" s="82"/>
      <x:c r="I25" s="82"/>
      <x:c r="J25" s="82"/>
    </x:row>
    <x:row r="26" ht="15" hidden="0" customHeight="1">
      <x:c r="A26" s="82"/>
      <x:c r="B26" s="82"/>
      <x:c r="C26" s="82"/>
      <x:c r="D26" s="82"/>
      <x:c r="E26" s="82"/>
      <x:c r="F26" s="82"/>
      <x:c r="G26" s="82"/>
      <x:c r="H26" s="82"/>
      <x:c r="I26" s="82"/>
      <x:c r="J26" s="82"/>
    </x:row>
    <x:row r="27" ht="15" hidden="0" customHeight="1">
      <x:c r="A27" s="82"/>
      <x:c r="B27" s="82"/>
      <x:c r="C27" s="82"/>
      <x:c r="D27" s="82"/>
      <x:c r="E27" s="82"/>
      <x:c r="F27" s="82"/>
      <x:c r="G27" s="82"/>
      <x:c r="H27" s="82"/>
      <x:c r="I27" s="82"/>
      <x:c r="J27" s="82"/>
    </x:row>
    <x:row r="28" ht="15" hidden="0" customHeight="1">
      <x:c r="A28" s="82"/>
      <x:c r="B28" s="82"/>
      <x:c r="C28" s="82"/>
      <x:c r="D28" s="82"/>
      <x:c r="E28" s="82"/>
      <x:c r="F28" s="82"/>
      <x:c r="G28" s="82"/>
      <x:c r="H28" s="82"/>
      <x:c r="I28" s="82"/>
      <x:c r="J28" s="82"/>
    </x:row>
    <x:row r="29" ht="15" hidden="0" customHeight="1">
      <x:c r="A29" s="82"/>
      <x:c r="B29" s="82"/>
      <x:c r="C29" s="82"/>
      <x:c r="D29" s="82"/>
      <x:c r="E29" s="82"/>
      <x:c r="F29" s="82"/>
      <x:c r="G29" s="82"/>
      <x:c r="H29" s="82"/>
      <x:c r="I29" s="82"/>
      <x:c r="J29" s="82"/>
    </x:row>
    <x:row r="30" ht="15" hidden="0" customHeight="1">
      <x:c r="A30" s="82"/>
      <x:c r="B30" s="82"/>
      <x:c r="C30" s="82"/>
      <x:c r="D30" s="82"/>
      <x:c r="E30" s="82"/>
      <x:c r="F30" s="82"/>
      <x:c r="G30" s="82"/>
      <x:c r="H30" s="82"/>
      <x:c r="I30" s="82"/>
      <x:c r="J30" s="82"/>
    </x:row>
    <x:row r="31" ht="15" hidden="0" customHeight="1">
      <x:c r="A31" s="82"/>
      <x:c r="B31" s="82"/>
      <x:c r="C31" s="82"/>
      <x:c r="D31" s="82"/>
      <x:c r="E31" s="82"/>
      <x:c r="F31" s="82"/>
      <x:c r="G31" s="82"/>
      <x:c r="H31" s="82"/>
      <x:c r="I31" s="82"/>
      <x:c r="J31" s="82"/>
    </x:row>
    <x:row r="32" ht="15" hidden="0" customHeight="1">
      <x:c r="A32" s="82"/>
      <x:c r="B32" s="82"/>
      <x:c r="C32" s="82"/>
      <x:c r="D32" s="82"/>
      <x:c r="E32" s="82"/>
      <x:c r="F32" s="82"/>
      <x:c r="G32" s="82"/>
      <x:c r="H32" s="82"/>
      <x:c r="I32" s="82"/>
      <x:c r="J32" s="82"/>
    </x:row>
    <x:row r="33" ht="15" hidden="0" customHeight="1">
      <x:c r="A33" s="82"/>
      <x:c r="B33" s="82"/>
      <x:c r="C33" s="82"/>
      <x:c r="D33" s="82"/>
      <x:c r="E33" s="82"/>
      <x:c r="F33" s="82"/>
      <x:c r="G33" s="82"/>
      <x:c r="H33" s="82"/>
      <x:c r="I33" s="82"/>
      <x:c r="J33" s="82"/>
    </x:row>
    <x:row r="34" ht="15" hidden="0" customHeight="1">
      <x:c r="A34" s="82"/>
      <x:c r="B34" s="82"/>
      <x:c r="C34" s="82"/>
      <x:c r="D34" s="82"/>
      <x:c r="E34" s="82"/>
      <x:c r="F34" s="82"/>
      <x:c r="G34" s="82"/>
      <x:c r="H34" s="82"/>
      <x:c r="I34" s="82"/>
      <x:c r="J34" s="82"/>
    </x:row>
    <x:row r="35" ht="15" hidden="0" customHeight="1">
      <x:c r="A35" s="82"/>
      <x:c r="B35" s="82"/>
      <x:c r="C35" s="82"/>
      <x:c r="D35" s="82"/>
      <x:c r="E35" s="82"/>
      <x:c r="F35" s="82"/>
      <x:c r="G35" s="82"/>
      <x:c r="H35" s="82"/>
      <x:c r="I35" s="82"/>
      <x:c r="J35" s="82"/>
    </x:row>
    <x:row r="36" ht="15" hidden="0" customHeight="1">
      <x:c r="A36" s="82"/>
      <x:c r="B36" s="82"/>
      <x:c r="C36" s="82"/>
      <x:c r="D36" s="82"/>
      <x:c r="E36" s="82"/>
      <x:c r="F36" s="82"/>
      <x:c r="G36" s="82"/>
      <x:c r="H36" s="82"/>
      <x:c r="I36" s="82"/>
      <x:c r="J36" s="82"/>
    </x:row>
    <x:row r="37" ht="15" hidden="0" customHeight="1">
      <x:c r="A37" s="82"/>
      <x:c r="B37" s="82"/>
      <x:c r="C37" s="82"/>
      <x:c r="D37" s="82"/>
      <x:c r="E37" s="82"/>
      <x:c r="F37" s="82"/>
      <x:c r="G37" s="82"/>
      <x:c r="H37" s="82"/>
      <x:c r="I37" s="82"/>
      <x:c r="J37" s="82"/>
    </x:row>
    <x:row r="38" ht="15" hidden="0" customHeight="1">
      <x:c r="A38" s="82"/>
      <x:c r="B38" s="82"/>
      <x:c r="C38" s="82"/>
      <x:c r="D38" s="82"/>
      <x:c r="E38" s="82"/>
      <x:c r="F38" s="82"/>
      <x:c r="G38" s="82"/>
      <x:c r="H38" s="82"/>
      <x:c r="I38" s="82"/>
      <x:c r="J38" s="82"/>
    </x:row>
    <x:row r="39" ht="15" hidden="0" customHeight="1">
      <x:c r="A39" s="82"/>
      <x:c r="B39" s="82"/>
      <x:c r="C39" s="82"/>
      <x:c r="D39" s="82"/>
      <x:c r="E39" s="82"/>
      <x:c r="F39" s="82"/>
      <x:c r="G39" s="82"/>
      <x:c r="H39" s="82"/>
      <x:c r="I39" s="82"/>
      <x:c r="J39" s="82"/>
    </x:row>
    <x:row r="40" ht="15" hidden="0" customHeight="1">
      <x:c r="A40" s="82"/>
      <x:c r="B40" s="82"/>
      <x:c r="C40" s="82"/>
      <x:c r="D40" s="82"/>
      <x:c r="E40" s="82"/>
      <x:c r="F40" s="82"/>
      <x:c r="G40" s="82"/>
      <x:c r="H40" s="82"/>
      <x:c r="I40" s="82"/>
      <x:c r="J40" s="82"/>
    </x:row>
    <x:row r="41" ht="15" hidden="0" customHeight="1">
      <x:c r="A41" s="82"/>
      <x:c r="B41" s="82"/>
      <x:c r="C41" s="82"/>
      <x:c r="D41" s="82"/>
      <x:c r="E41" s="82"/>
      <x:c r="F41" s="82"/>
      <x:c r="G41" s="82"/>
      <x:c r="H41" s="82"/>
      <x:c r="I41" s="82"/>
      <x:c r="J41" s="82"/>
    </x:row>
    <x:row r="42" ht="15" hidden="0" customHeight="1">
      <x:c r="A42" s="82"/>
      <x:c r="B42" s="82"/>
      <x:c r="C42" s="82"/>
      <x:c r="D42" s="82"/>
      <x:c r="E42" s="82"/>
      <x:c r="F42" s="82"/>
      <x:c r="G42" s="82"/>
      <x:c r="H42" s="82"/>
      <x:c r="I42" s="82"/>
      <x:c r="J42" s="82"/>
    </x:row>
    <x:row r="43" ht="15" hidden="0" customHeight="1">
      <x:c r="A43" s="82"/>
      <x:c r="B43" s="82"/>
      <x:c r="C43" s="82"/>
      <x:c r="D43" s="82"/>
      <x:c r="E43" s="82"/>
      <x:c r="F43" s="82"/>
      <x:c r="G43" s="82"/>
      <x:c r="H43" s="82"/>
      <x:c r="I43" s="82"/>
      <x:c r="J43" s="82"/>
    </x:row>
    <x:row r="44" ht="15" hidden="0" customHeight="1">
      <x:c r="A44" s="82"/>
      <x:c r="B44" s="82"/>
      <x:c r="C44" s="82"/>
      <x:c r="D44" s="82"/>
      <x:c r="E44" s="82"/>
      <x:c r="F44" s="82"/>
      <x:c r="G44" s="82"/>
      <x:c r="H44" s="82"/>
      <x:c r="I44" s="82"/>
      <x:c r="J44" s="82"/>
    </x:row>
    <x:row r="45" ht="15" hidden="0" customHeight="1">
      <x:c r="A45" s="82"/>
      <x:c r="B45" s="82"/>
      <x:c r="C45" s="82"/>
      <x:c r="D45" s="82"/>
      <x:c r="E45" s="82"/>
      <x:c r="F45" s="82"/>
      <x:c r="G45" s="82"/>
      <x:c r="H45" s="82"/>
      <x:c r="I45" s="82"/>
      <x:c r="J45" s="82"/>
    </x:row>
    <x:row r="46" ht="15" hidden="0" customHeight="1">
      <x:c r="A46" s="82"/>
      <x:c r="B46" s="82"/>
      <x:c r="C46" s="82"/>
      <x:c r="D46" s="82"/>
      <x:c r="E46" s="82"/>
      <x:c r="F46" s="82"/>
      <x:c r="G46" s="82"/>
      <x:c r="H46" s="82"/>
      <x:c r="I46" s="82"/>
      <x:c r="J46" s="82"/>
    </x:row>
    <x:row r="47" ht="15" hidden="0" customHeight="1">
      <x:c r="A47" s="82"/>
      <x:c r="B47" s="82"/>
      <x:c r="C47" s="82"/>
      <x:c r="D47" s="82"/>
      <x:c r="E47" s="82"/>
      <x:c r="F47" s="82"/>
      <x:c r="G47" s="82"/>
      <x:c r="H47" s="82"/>
      <x:c r="I47" s="82"/>
      <x:c r="J47" s="82"/>
    </x:row>
    <x:row r="48" ht="15" hidden="0" customHeight="1">
      <x:c r="A48" s="82"/>
      <x:c r="B48" s="82"/>
      <x:c r="C48" s="82"/>
      <x:c r="D48" s="82"/>
      <x:c r="E48" s="82"/>
      <x:c r="F48" s="82"/>
      <x:c r="G48" s="82"/>
      <x:c r="H48" s="82"/>
      <x:c r="I48" s="82"/>
      <x:c r="J48" s="82"/>
    </x:row>
    <x:row r="49" ht="15" hidden="0" customHeight="1">
      <x:c r="A49" s="82"/>
      <x:c r="B49" s="82"/>
      <x:c r="C49" s="82"/>
      <x:c r="D49" s="82"/>
      <x:c r="E49" s="82"/>
      <x:c r="F49" s="82"/>
      <x:c r="G49" s="82"/>
      <x:c r="H49" s="82"/>
      <x:c r="I49" s="82"/>
      <x:c r="J49" s="82"/>
    </x:row>
    <x:row r="50" ht="15" hidden="0" customHeight="1">
      <x:c r="A50" s="82"/>
      <x:c r="B50" s="82"/>
      <x:c r="C50" s="82"/>
      <x:c r="D50" s="82"/>
      <x:c r="E50" s="82"/>
      <x:c r="F50" s="82"/>
      <x:c r="G50" s="82"/>
      <x:c r="H50" s="82"/>
      <x:c r="I50" s="82"/>
      <x:c r="J50" s="82"/>
    </x:row>
    <x:row r="51" ht="15" hidden="0" customHeight="1">
      <x:c r="A51" s="82"/>
      <x:c r="B51" s="82"/>
      <x:c r="C51" s="82"/>
      <x:c r="D51" s="82"/>
      <x:c r="E51" s="82"/>
      <x:c r="F51" s="82"/>
      <x:c r="G51" s="82"/>
      <x:c r="H51" s="82"/>
      <x:c r="I51" s="82"/>
      <x:c r="J51" s="82"/>
    </x:row>
    <x:row r="52" ht="15" hidden="0" customHeight="1">
      <x:c r="A52" s="82"/>
      <x:c r="B52" s="82"/>
      <x:c r="C52" s="82"/>
      <x:c r="D52" s="82"/>
      <x:c r="E52" s="82"/>
      <x:c r="F52" s="82"/>
      <x:c r="G52" s="82"/>
      <x:c r="H52" s="82"/>
      <x:c r="I52" s="82"/>
      <x:c r="J52" s="82"/>
    </x:row>
    <x:row r="53" ht="15" hidden="0" customHeight="1">
      <x:c r="A53" s="82"/>
      <x:c r="B53" s="82"/>
      <x:c r="C53" s="82"/>
      <x:c r="D53" s="82"/>
      <x:c r="E53" s="82"/>
      <x:c r="F53" s="82"/>
      <x:c r="G53" s="82"/>
      <x:c r="H53" s="82"/>
      <x:c r="I53" s="82"/>
      <x:c r="J53" s="82"/>
    </x:row>
    <x:row r="54" ht="15" hidden="0" customHeight="1">
      <x:c r="A54" s="82"/>
      <x:c r="B54" s="82"/>
      <x:c r="C54" s="82"/>
      <x:c r="D54" s="82"/>
      <x:c r="E54" s="82"/>
      <x:c r="F54" s="82"/>
      <x:c r="G54" s="82"/>
      <x:c r="H54" s="82"/>
      <x:c r="I54" s="82"/>
      <x:c r="J54" s="82"/>
    </x:row>
    <x:row r="55" ht="15" hidden="0" customHeight="1">
      <x:c r="A55" s="82"/>
      <x:c r="B55" s="82"/>
      <x:c r="C55" s="82"/>
      <x:c r="D55" s="82"/>
      <x:c r="E55" s="82"/>
      <x:c r="F55" s="82"/>
      <x:c r="G55" s="82"/>
      <x:c r="H55" s="82"/>
      <x:c r="I55" s="82"/>
      <x:c r="J55" s="82"/>
    </x:row>
    <x:row r="56" ht="15" hidden="0" customHeight="1">
      <x:c r="A56" s="82"/>
      <x:c r="B56" s="82"/>
      <x:c r="C56" s="82"/>
      <x:c r="D56" s="82"/>
      <x:c r="E56" s="82"/>
      <x:c r="F56" s="82"/>
      <x:c r="G56" s="82"/>
      <x:c r="H56" s="82"/>
      <x:c r="I56" s="82"/>
      <x:c r="J56" s="82"/>
    </x:row>
    <x:row r="57" ht="15" hidden="0" customHeight="1">
      <x:c r="A57" s="82"/>
      <x:c r="B57" s="82"/>
      <x:c r="C57" s="82"/>
      <x:c r="D57" s="82"/>
      <x:c r="E57" s="82"/>
      <x:c r="F57" s="82"/>
      <x:c r="G57" s="82"/>
      <x:c r="H57" s="82"/>
      <x:c r="I57" s="82"/>
      <x:c r="J57" s="82"/>
    </x:row>
    <x:row r="58" ht="15" hidden="0" customHeight="1">
      <x:c r="A58" s="82"/>
      <x:c r="B58" s="82"/>
      <x:c r="C58" s="82"/>
      <x:c r="D58" s="82"/>
      <x:c r="E58" s="82"/>
      <x:c r="F58" s="82"/>
      <x:c r="G58" s="82"/>
      <x:c r="H58" s="82"/>
      <x:c r="I58" s="82"/>
      <x:c r="J58" s="82"/>
    </x:row>
    <x:row r="59" ht="15" hidden="0" customHeight="1">
      <x:c r="A59" s="82"/>
      <x:c r="B59" s="82"/>
      <x:c r="C59" s="82"/>
      <x:c r="D59" s="82"/>
      <x:c r="E59" s="82"/>
      <x:c r="F59" s="82"/>
      <x:c r="G59" s="82"/>
      <x:c r="H59" s="82"/>
      <x:c r="I59" s="82"/>
      <x:c r="J59" s="82"/>
    </x:row>
    <x:row r="60" ht="15" hidden="0" customHeight="1">
      <x:c r="A60" s="82"/>
      <x:c r="B60" s="82"/>
      <x:c r="C60" s="82"/>
      <x:c r="D60" s="82"/>
      <x:c r="E60" s="82"/>
      <x:c r="F60" s="82"/>
      <x:c r="G60" s="82"/>
      <x:c r="H60" s="82"/>
      <x:c r="I60" s="82"/>
      <x:c r="J60" s="82"/>
    </x:row>
    <x:row r="61" ht="15" hidden="0" customHeight="1">
      <x:c r="A61" s="82"/>
      <x:c r="B61" s="82"/>
      <x:c r="C61" s="82"/>
      <x:c r="D61" s="82"/>
      <x:c r="E61" s="82"/>
      <x:c r="F61" s="82"/>
      <x:c r="G61" s="82"/>
      <x:c r="H61" s="82"/>
      <x:c r="I61" s="82"/>
      <x:c r="J61" s="82"/>
    </x:row>
    <x:row r="62" ht="15" hidden="0" customHeight="1">
      <x:c r="A62" s="82"/>
      <x:c r="B62" s="82"/>
      <x:c r="C62" s="82"/>
      <x:c r="D62" s="82"/>
      <x:c r="E62" s="82"/>
      <x:c r="F62" s="82"/>
      <x:c r="G62" s="82"/>
      <x:c r="H62" s="82"/>
      <x:c r="I62" s="82"/>
      <x:c r="J62" s="82"/>
    </x:row>
    <x:row r="63" ht="15" hidden="0" customHeight="1">
      <x:c r="A63" s="82"/>
      <x:c r="B63" s="82"/>
      <x:c r="C63" s="82"/>
      <x:c r="D63" s="82"/>
      <x:c r="E63" s="82"/>
      <x:c r="F63" s="82"/>
      <x:c r="G63" s="82"/>
      <x:c r="H63" s="82"/>
      <x:c r="I63" s="82"/>
      <x:c r="J63" s="82"/>
    </x:row>
    <x:row r="64" ht="15" hidden="0" customHeight="1">
      <x:c r="A64" s="82"/>
      <x:c r="B64" s="82"/>
      <x:c r="C64" s="82"/>
      <x:c r="D64" s="82"/>
      <x:c r="E64" s="82"/>
      <x:c r="F64" s="82"/>
      <x:c r="G64" s="82"/>
      <x:c r="H64" s="82"/>
      <x:c r="I64" s="82"/>
      <x:c r="J64" s="82"/>
    </x:row>
    <x:row r="65" ht="15" hidden="0" customHeight="1">
      <x:c r="A65" s="82"/>
      <x:c r="B65" s="82"/>
      <x:c r="C65" s="82"/>
      <x:c r="D65" s="82"/>
      <x:c r="E65" s="82"/>
      <x:c r="F65" s="82"/>
      <x:c r="G65" s="82"/>
      <x:c r="H65" s="82"/>
      <x:c r="I65" s="82"/>
      <x:c r="J65" s="82"/>
    </x:row>
    <x:row r="66" ht="15" hidden="0" customHeight="1">
      <x:c r="A66" s="82"/>
      <x:c r="B66" s="82"/>
      <x:c r="C66" s="82"/>
      <x:c r="D66" s="82"/>
      <x:c r="E66" s="82"/>
      <x:c r="F66" s="82"/>
      <x:c r="G66" s="82"/>
      <x:c r="H66" s="82"/>
      <x:c r="I66" s="82"/>
      <x:c r="J66" s="82"/>
    </x:row>
    <x:row r="67" ht="15" hidden="0" customHeight="1">
      <x:c r="A67" s="82"/>
      <x:c r="B67" s="82"/>
      <x:c r="C67" s="82"/>
      <x:c r="D67" s="82"/>
      <x:c r="E67" s="82"/>
      <x:c r="F67" s="82"/>
      <x:c r="G67" s="82"/>
      <x:c r="H67" s="82"/>
      <x:c r="I67" s="82"/>
      <x:c r="J67" s="82"/>
    </x:row>
    <x:row r="68" ht="15" hidden="0" customHeight="1">
      <x:c r="A68" s="82"/>
      <x:c r="B68" s="82"/>
      <x:c r="C68" s="82"/>
      <x:c r="D68" s="82"/>
      <x:c r="E68" s="82"/>
      <x:c r="F68" s="82"/>
      <x:c r="G68" s="82"/>
      <x:c r="H68" s="82"/>
      <x:c r="I68" s="82"/>
      <x:c r="J68" s="82"/>
    </x:row>
    <x:row r="69" ht="15" hidden="0" customHeight="1">
      <x:c r="A69" s="82"/>
      <x:c r="B69" s="82"/>
      <x:c r="C69" s="82"/>
      <x:c r="D69" s="82"/>
      <x:c r="E69" s="82"/>
      <x:c r="F69" s="82"/>
      <x:c r="G69" s="82"/>
      <x:c r="H69" s="82"/>
      <x:c r="I69" s="82"/>
      <x:c r="J69" s="82"/>
    </x:row>
    <x:row r="70" ht="15" hidden="0" customHeight="1">
      <x:c r="A70" s="82"/>
      <x:c r="B70" s="82"/>
      <x:c r="C70" s="82"/>
      <x:c r="D70" s="82"/>
      <x:c r="E70" s="82"/>
      <x:c r="F70" s="82"/>
      <x:c r="G70" s="82"/>
      <x:c r="H70" s="82"/>
      <x:c r="I70" s="82"/>
      <x:c r="J70" s="82"/>
    </x:row>
    <x:row r="71" ht="15" hidden="0" customHeight="1">
      <x:c r="A71" s="82"/>
      <x:c r="B71" s="82"/>
      <x:c r="C71" s="82"/>
      <x:c r="D71" s="82"/>
      <x:c r="E71" s="82"/>
      <x:c r="F71" s="82"/>
      <x:c r="G71" s="82"/>
      <x:c r="H71" s="82"/>
      <x:c r="I71" s="82"/>
      <x:c r="J71" s="82"/>
    </x:row>
    <x:row r="72" ht="15" hidden="0" customHeight="1">
      <x:c r="A72" s="82"/>
      <x:c r="B72" s="82"/>
      <x:c r="C72" s="82"/>
      <x:c r="D72" s="82"/>
      <x:c r="E72" s="82"/>
      <x:c r="F72" s="82"/>
      <x:c r="G72" s="82"/>
      <x:c r="H72" s="82"/>
      <x:c r="I72" s="82"/>
      <x:c r="J72" s="82"/>
    </x:row>
    <x:row r="73" ht="15" hidden="0" customHeight="1">
      <x:c r="A73" s="82"/>
      <x:c r="B73" s="82"/>
      <x:c r="C73" s="82"/>
      <x:c r="D73" s="82"/>
      <x:c r="E73" s="82"/>
      <x:c r="F73" s="82"/>
      <x:c r="G73" s="82"/>
      <x:c r="H73" s="82"/>
      <x:c r="I73" s="82"/>
      <x:c r="J73" s="82"/>
    </x:row>
    <x:row r="74" ht="15" hidden="0" customHeight="1">
      <x:c r="A74" s="82"/>
      <x:c r="B74" s="82"/>
      <x:c r="C74" s="82"/>
      <x:c r="D74" s="82"/>
      <x:c r="E74" s="82"/>
      <x:c r="F74" s="82"/>
      <x:c r="G74" s="82"/>
      <x:c r="H74" s="82"/>
      <x:c r="I74" s="82"/>
      <x:c r="J74" s="82"/>
    </x:row>
    <x:row r="75" ht="15" hidden="0" customHeight="1">
      <x:c r="A75" s="82"/>
      <x:c r="B75" s="82"/>
      <x:c r="C75" s="82"/>
      <x:c r="D75" s="82"/>
      <x:c r="E75" s="82"/>
      <x:c r="F75" s="82"/>
      <x:c r="G75" s="82"/>
      <x:c r="H75" s="82"/>
      <x:c r="I75" s="82"/>
      <x:c r="J75" s="82"/>
    </x:row>
    <x:row r="76" ht="15" hidden="0" customHeight="1">
      <x:c r="A76" s="82"/>
      <x:c r="B76" s="82"/>
      <x:c r="C76" s="82"/>
      <x:c r="D76" s="82"/>
      <x:c r="E76" s="82"/>
      <x:c r="F76" s="82"/>
      <x:c r="G76" s="82"/>
      <x:c r="H76" s="82"/>
      <x:c r="I76" s="82"/>
      <x:c r="J76" s="82"/>
    </x:row>
    <x:row r="77" ht="15" hidden="0" customHeight="1">
      <x:c r="A77" s="82"/>
      <x:c r="B77" s="82"/>
      <x:c r="C77" s="82"/>
      <x:c r="D77" s="82"/>
      <x:c r="E77" s="82"/>
      <x:c r="F77" s="82"/>
      <x:c r="G77" s="82"/>
      <x:c r="H77" s="82"/>
      <x:c r="I77" s="82"/>
      <x:c r="J77" s="82"/>
    </x:row>
    <x:row r="78" ht="15" hidden="0" customHeight="1">
      <x:c r="A78" s="82"/>
      <x:c r="B78" s="82"/>
      <x:c r="C78" s="82"/>
      <x:c r="D78" s="82"/>
      <x:c r="E78" s="82"/>
      <x:c r="F78" s="82"/>
      <x:c r="G78" s="82"/>
      <x:c r="H78" s="82"/>
      <x:c r="I78" s="82"/>
      <x:c r="J78" s="82"/>
    </x:row>
    <x:row r="79" ht="15" hidden="0" customHeight="1">
      <x:c r="A79" s="82"/>
      <x:c r="B79" s="82"/>
      <x:c r="C79" s="82"/>
      <x:c r="D79" s="82"/>
      <x:c r="E79" s="82"/>
      <x:c r="F79" s="82"/>
      <x:c r="G79" s="82"/>
      <x:c r="H79" s="82"/>
      <x:c r="I79" s="82"/>
      <x:c r="J79" s="82"/>
    </x:row>
    <x:row r="80" ht="15" hidden="0" customHeight="1">
      <x:c r="A80" s="82"/>
      <x:c r="B80" s="82"/>
      <x:c r="C80" s="82"/>
      <x:c r="D80" s="82"/>
      <x:c r="E80" s="82"/>
      <x:c r="F80" s="82"/>
      <x:c r="G80" s="82"/>
      <x:c r="H80" s="82"/>
      <x:c r="I80" s="82"/>
      <x:c r="J80" s="82"/>
    </x:row>
    <x:row r="81" ht="15" hidden="0" customHeight="1">
      <x:c r="A81" s="82"/>
      <x:c r="B81" s="82"/>
      <x:c r="C81" s="82"/>
      <x:c r="D81" s="82"/>
      <x:c r="E81" s="82"/>
      <x:c r="F81" s="82"/>
      <x:c r="G81" s="82"/>
      <x:c r="H81" s="82"/>
      <x:c r="I81" s="82"/>
      <x:c r="J81" s="82"/>
    </x:row>
    <x:row r="82" ht="15" hidden="0" customHeight="1">
      <x:c r="A82" s="82"/>
      <x:c r="B82" s="82"/>
      <x:c r="C82" s="82"/>
      <x:c r="D82" s="82"/>
      <x:c r="E82" s="82"/>
      <x:c r="F82" s="82"/>
      <x:c r="G82" s="82"/>
      <x:c r="H82" s="82"/>
      <x:c r="I82" s="82"/>
      <x:c r="J82" s="82"/>
    </x:row>
    <x:row r="83" ht="15" hidden="0" customHeight="1">
      <x:c r="A83" s="82"/>
      <x:c r="B83" s="82"/>
      <x:c r="C83" s="82"/>
      <x:c r="D83" s="82"/>
      <x:c r="E83" s="82"/>
      <x:c r="F83" s="82"/>
      <x:c r="G83" s="82"/>
      <x:c r="H83" s="82"/>
      <x:c r="I83" s="82"/>
      <x:c r="J83" s="82"/>
    </x:row>
    <x:row r="84" ht="15" hidden="0" customHeight="1">
      <x:c r="A84" s="82"/>
      <x:c r="B84" s="82"/>
      <x:c r="C84" s="82"/>
      <x:c r="D84" s="82"/>
      <x:c r="E84" s="82"/>
      <x:c r="F84" s="82"/>
      <x:c r="G84" s="82"/>
      <x:c r="H84" s="82"/>
      <x:c r="I84" s="82"/>
      <x:c r="J84" s="82"/>
    </x:row>
    <x:row r="85" ht="15" hidden="0" customHeight="1">
      <x:c r="A85" s="82"/>
      <x:c r="B85" s="82"/>
      <x:c r="C85" s="82"/>
      <x:c r="D85" s="82"/>
      <x:c r="E85" s="82"/>
      <x:c r="F85" s="82"/>
      <x:c r="G85" s="82"/>
      <x:c r="H85" s="82"/>
      <x:c r="I85" s="82"/>
      <x:c r="J85" s="82"/>
    </x:row>
    <x:row r="86" ht="15" hidden="0" customHeight="1">
      <x:c r="A86" s="82"/>
      <x:c r="B86" s="82"/>
      <x:c r="C86" s="82"/>
      <x:c r="D86" s="82"/>
      <x:c r="E86" s="82"/>
      <x:c r="F86" s="82"/>
      <x:c r="G86" s="82"/>
      <x:c r="H86" s="82"/>
      <x:c r="I86" s="82"/>
      <x:c r="J86" s="82"/>
    </x:row>
    <x:row r="87" ht="15" hidden="0" customHeight="1">
      <x:c r="A87" s="82"/>
      <x:c r="B87" s="82"/>
      <x:c r="C87" s="82"/>
      <x:c r="D87" s="82"/>
      <x:c r="E87" s="82"/>
      <x:c r="F87" s="82"/>
      <x:c r="G87" s="82"/>
      <x:c r="H87" s="82"/>
      <x:c r="I87" s="82"/>
      <x:c r="J87" s="82"/>
    </x:row>
    <x:row r="88" ht="15" hidden="0" customHeight="1">
      <x:c r="A88" s="82"/>
      <x:c r="B88" s="82"/>
      <x:c r="C88" s="82"/>
      <x:c r="D88" s="82"/>
      <x:c r="E88" s="82"/>
      <x:c r="F88" s="82"/>
      <x:c r="G88" s="82"/>
      <x:c r="H88" s="82"/>
      <x:c r="I88" s="82"/>
      <x:c r="J88" s="82"/>
    </x:row>
    <x:row r="89" ht="15" hidden="0" customHeight="1">
      <x:c r="A89" s="82"/>
      <x:c r="B89" s="82"/>
      <x:c r="C89" s="82"/>
      <x:c r="D89" s="82"/>
      <x:c r="E89" s="82"/>
      <x:c r="F89" s="82"/>
      <x:c r="G89" s="82"/>
      <x:c r="H89" s="82"/>
      <x:c r="I89" s="82"/>
      <x:c r="J89" s="82"/>
    </x:row>
    <x:row r="90" ht="15" hidden="0" customHeight="1">
      <x:c r="A90" s="82"/>
      <x:c r="B90" s="82"/>
      <x:c r="C90" s="82"/>
      <x:c r="D90" s="82"/>
      <x:c r="E90" s="82"/>
      <x:c r="F90" s="82"/>
      <x:c r="G90" s="82"/>
      <x:c r="H90" s="82"/>
      <x:c r="I90" s="82"/>
      <x:c r="J90" s="82"/>
    </x:row>
    <x:row r="91" ht="15" hidden="0" customHeight="1">
      <x:c r="A91" s="82"/>
      <x:c r="B91" s="82"/>
      <x:c r="C91" s="82"/>
      <x:c r="D91" s="82"/>
      <x:c r="E91" s="82"/>
      <x:c r="F91" s="82"/>
      <x:c r="G91" s="82"/>
      <x:c r="H91" s="82"/>
      <x:c r="I91" s="82"/>
      <x:c r="J91" s="82"/>
    </x:row>
    <x:row r="92" ht="15" hidden="0" customHeight="1">
      <x:c r="A92" s="82"/>
      <x:c r="B92" s="82"/>
      <x:c r="C92" s="82"/>
      <x:c r="D92" s="82"/>
      <x:c r="E92" s="82"/>
      <x:c r="F92" s="82"/>
      <x:c r="G92" s="82"/>
      <x:c r="H92" s="82"/>
      <x:c r="I92" s="82"/>
      <x:c r="J92" s="82"/>
    </x:row>
    <x:row r="93" ht="15" hidden="0" customHeight="1">
      <x:c r="A93" s="82"/>
      <x:c r="B93" s="82"/>
      <x:c r="C93" s="82"/>
      <x:c r="D93" s="82"/>
      <x:c r="E93" s="82"/>
      <x:c r="F93" s="82"/>
      <x:c r="G93" s="82"/>
      <x:c r="H93" s="82"/>
      <x:c r="I93" s="82"/>
      <x:c r="J93" s="82"/>
    </x:row>
    <x:row r="94" ht="15" hidden="0" customHeight="1">
      <x:c r="A94" s="82"/>
      <x:c r="B94" s="82"/>
      <x:c r="C94" s="82"/>
      <x:c r="D94" s="82"/>
      <x:c r="E94" s="82"/>
      <x:c r="F94" s="82"/>
      <x:c r="G94" s="82"/>
      <x:c r="H94" s="82"/>
      <x:c r="I94" s="82"/>
      <x:c r="J94" s="82"/>
    </x:row>
    <x:row r="95" ht="15" hidden="0" customHeight="1">
      <x:c r="A95" s="82"/>
      <x:c r="B95" s="82"/>
      <x:c r="C95" s="82"/>
      <x:c r="D95" s="82"/>
      <x:c r="E95" s="82"/>
      <x:c r="F95" s="82"/>
      <x:c r="G95" s="82"/>
      <x:c r="H95" s="82"/>
      <x:c r="I95" s="82"/>
      <x:c r="J95" s="82"/>
    </x:row>
    <x:row r="96" ht="15" hidden="0" customHeight="1">
      <x:c r="A96" s="82"/>
      <x:c r="B96" s="82"/>
      <x:c r="C96" s="82"/>
      <x:c r="D96" s="82"/>
      <x:c r="E96" s="82"/>
      <x:c r="F96" s="82"/>
      <x:c r="G96" s="82"/>
      <x:c r="H96" s="82"/>
      <x:c r="I96" s="82"/>
      <x:c r="J96" s="82"/>
    </x:row>
    <x:row r="97" ht="15" hidden="0" customHeight="1">
      <x:c r="A97" s="82"/>
      <x:c r="B97" s="82"/>
      <x:c r="C97" s="82"/>
      <x:c r="D97" s="82"/>
      <x:c r="E97" s="82"/>
      <x:c r="F97" s="82"/>
      <x:c r="G97" s="82"/>
      <x:c r="H97" s="82"/>
      <x:c r="I97" s="82"/>
      <x:c r="J97" s="82"/>
    </x:row>
    <x:row r="98" ht="15" hidden="0" customHeight="1">
      <x:c r="A98" s="82"/>
      <x:c r="B98" s="82"/>
      <x:c r="C98" s="82"/>
      <x:c r="D98" s="82"/>
      <x:c r="E98" s="82"/>
      <x:c r="F98" s="82"/>
      <x:c r="G98" s="82"/>
      <x:c r="H98" s="82"/>
      <x:c r="I98" s="82"/>
      <x:c r="J98" s="82"/>
    </x:row>
    <x:row r="99" ht="15" hidden="0" customHeight="1">
      <x:c r="A99" s="82"/>
      <x:c r="B99" s="82"/>
      <x:c r="C99" s="82"/>
      <x:c r="D99" s="82"/>
      <x:c r="E99" s="82"/>
      <x:c r="F99" s="82"/>
      <x:c r="G99" s="82"/>
      <x:c r="H99" s="82"/>
      <x:c r="I99" s="82"/>
      <x:c r="J99" s="82"/>
    </x:row>
    <x:row r="100" ht="15" hidden="0" customHeight="1">
      <x:c r="A100" s="82"/>
      <x:c r="B100" s="82"/>
      <x:c r="C100" s="82"/>
      <x:c r="D100" s="82"/>
      <x:c r="E100" s="82"/>
      <x:c r="F100" s="82"/>
      <x:c r="G100" s="82"/>
      <x:c r="H100" s="82"/>
      <x:c r="I100" s="82"/>
      <x:c r="J100" s="82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8787733ad8d49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8" hidden="0" customWidth="1"/>
    <x:col min="4" max="4" width="16" hidden="0" customWidth="1"/>
    <x:col min="5" max="5" width="24" hidden="0" customWidth="1"/>
    <x:col min="6" max="6" width="14" hidden="0" customWidth="1"/>
    <x:col min="7" max="7" width="42" hidden="0" customWidth="1"/>
    <x:col min="8" max="8" width="38" hidden="0" customWidth="1"/>
    <x:col min="9" max="9" width="28" hidden="0" customWidth="1"/>
    <x:col min="10" max="10" width="24" hidden="0" customWidth="1"/>
  </x:cols>
  <x:sheetData>
    <x:row r="1" ht="43.20000076293945" hidden="0" customHeight="1">
      <x:c r="A1" s="80" t="str">
        <x:v>REST API 명세</x:v>
      </x:c>
      <x:c r="B1" s="80"/>
      <x:c r="C1" s="80"/>
      <x:c r="D1" s="80"/>
      <x:c r="E1" s="80"/>
      <x:c r="F1" s="80"/>
      <x:c r="G1" s="80"/>
      <x:c r="H1" s="80"/>
      <x:c r="I1" s="80"/>
      <x:c r="J1" s="80"/>
    </x:row>
    <x:row r="2" ht="15" hidden="0" customHeight="1">
      <x:c r="A2" s="68" t="str">
        <x:v>API ID</x:v>
      </x:c>
      <x:c r="B2" s="68" t="str">
        <x:v>Method</x:v>
      </x:c>
      <x:c r="C2" s="68" t="str">
        <x:v>Path</x:v>
      </x:c>
      <x:c r="D2" s="68" t="str">
        <x:v>사용자</x:v>
      </x:c>
      <x:c r="E2" s="68" t="str">
        <x:v>기능</x:v>
      </x:c>
      <x:c r="F2" s="68" t="str">
        <x:v>인증</x:v>
      </x:c>
      <x:c r="G2" s="68" t="str">
        <x:v>요청/쿼리</x:v>
      </x:c>
      <x:c r="H2" s="68" t="str">
        <x:v>성공 응답</x:v>
      </x:c>
      <x:c r="I2" s="68" t="str">
        <x:v>주요 오류</x:v>
      </x:c>
      <x:c r="J2" s="68" t="str">
        <x:v>비고</x:v>
      </x:c>
    </x:row>
    <x:row r="3" ht="15" hidden="0" customHeight="1">
      <x:c r="A3" s="75" t="str">
        <x:v>API-001</x:v>
      </x:c>
      <x:c r="B3" s="75" t="str">
        <x:v>POST</x:v>
      </x:c>
      <x:c r="C3" s="75" t="str">
        <x:v>/api/users</x:v>
      </x:c>
      <x:c r="D3" s="75" t="str">
        <x:v>비회원</x:v>
      </x:c>
      <x:c r="E3" s="38" t="str">
        <x:v>회원가입</x:v>
      </x:c>
      <x:c r="F3" s="75" t="str">
        <x:v>불필요</x:v>
      </x:c>
      <x:c r="G3" s="38" t="str">
        <x:v>user_id, pw, name, birth</x:v>
      </x:c>
      <x:c r="H3" s="38" t="str">
        <x:v>201 + user</x:v>
      </x:c>
      <x:c r="I3" s="38" t="str">
        <x:v>400 중복/형식 오류</x:v>
      </x:c>
      <x:c r="J3" s="38" t="str">
        <x:v>pw는 해시 저장</x:v>
      </x:c>
    </x:row>
    <x:row r="4" ht="15" hidden="0" customHeight="1">
      <x:c r="A4" s="75" t="str">
        <x:v>API-002</x:v>
      </x:c>
      <x:c r="B4" s="75" t="str">
        <x:v>POST</x:v>
      </x:c>
      <x:c r="C4" s="75" t="str">
        <x:v>/api/sessions</x:v>
      </x:c>
      <x:c r="D4" s="75" t="str">
        <x:v>비회원</x:v>
      </x:c>
      <x:c r="E4" s="38" t="str">
        <x:v>로그인</x:v>
      </x:c>
      <x:c r="F4" s="75" t="str">
        <x:v>불필요</x:v>
      </x:c>
      <x:c r="G4" s="38" t="str">
        <x:v>role, account_id, pw</x:v>
      </x:c>
      <x:c r="H4" s="38" t="str">
        <x:v>201 + token/session</x:v>
      </x:c>
      <x:c r="I4" s="38" t="str">
        <x:v>401 인증 실패</x:v>
      </x:c>
      <x:c r="J4" s="38" t="str">
        <x:v>user/admin 공통</x:v>
      </x:c>
    </x:row>
    <x:row r="5" ht="15" hidden="0" customHeight="1">
      <x:c r="A5" s="75" t="str">
        <x:v>API-003</x:v>
      </x:c>
      <x:c r="B5" s="75" t="str">
        <x:v>DELETE</x:v>
      </x:c>
      <x:c r="C5" s="75" t="str">
        <x:v>/api/sessions/current</x:v>
      </x:c>
      <x:c r="D5" s="75" t="str">
        <x:v>사용자/관리자</x:v>
      </x:c>
      <x:c r="E5" s="38" t="str">
        <x:v>로그아웃</x:v>
      </x:c>
      <x:c r="F5" s="75" t="str">
        <x:v>Bearer</x:v>
      </x:c>
      <x:c r="G5" s="38" t="str">
        <x:v>없음</x:v>
      </x:c>
      <x:c r="H5" s="38" t="str">
        <x:v>200</x:v>
      </x:c>
      <x:c r="I5" s="38" t="str">
        <x:v>401 만료</x:v>
      </x:c>
      <x:c r="J5" s="38" t="str">
        <x:v>메모리 세션 삭제</x:v>
      </x:c>
    </x:row>
    <x:row r="6" ht="15" hidden="0" customHeight="1">
      <x:c r="A6" s="75" t="str">
        <x:v>API-004</x:v>
      </x:c>
      <x:c r="B6" s="75" t="str">
        <x:v>GET</x:v>
      </x:c>
      <x:c r="C6" s="75" t="str">
        <x:v>/api/measurements</x:v>
      </x:c>
      <x:c r="D6" s="75" t="str">
        <x:v>사용자</x:v>
      </x:c>
      <x:c r="E6" s="38" t="str">
        <x:v>본인 기록 목록</x:v>
      </x:c>
      <x:c r="F6" s="75" t="str">
        <x:v>Bearer</x:v>
      </x:c>
      <x:c r="G6" s="38" t="str">
        <x:v>start_date, end_date, page, page_size</x:v>
      </x:c>
      <x:c r="H6" s="38" t="str">
        <x:v>200 + measurements/pagination</x:v>
      </x:c>
      <x:c r="I6" s="38" t="str">
        <x:v>400 날짜/페이지 오류</x:v>
      </x:c>
      <x:c r="J6" s="38" t="str">
        <x:v>최신순</x:v>
      </x:c>
    </x:row>
    <x:row r="7" ht="15" hidden="0" customHeight="1">
      <x:c r="A7" s="75" t="str">
        <x:v>API-005</x:v>
      </x:c>
      <x:c r="B7" s="75" t="str">
        <x:v>GET</x:v>
      </x:c>
      <x:c r="C7" s="75" t="str">
        <x:v>/api/search</x:v>
      </x:c>
      <x:c r="D7" s="75" t="str">
        <x:v>사용자</x:v>
      </x:c>
      <x:c r="E7" s="38" t="str">
        <x:v>날짜 범위 검색</x:v>
      </x:c>
      <x:c r="F7" s="75" t="str">
        <x:v>Bearer</x:v>
      </x:c>
      <x:c r="G7" s="38" t="str">
        <x:v>start_date, end_date, page, page_size</x:v>
      </x:c>
      <x:c r="H7" s="38" t="str">
        <x:v>200 + measurements/pagination</x:v>
      </x:c>
      <x:c r="I7" s="38" t="str">
        <x:v>400 날짜/페이지 오류</x:v>
      </x:c>
      <x:c r="J7" s="38" t="str">
        <x:v>API-004 별칭</x:v>
      </x:c>
    </x:row>
    <x:row r="8" ht="15" hidden="0" customHeight="1">
      <x:c r="A8" s="75" t="str">
        <x:v>API-006</x:v>
      </x:c>
      <x:c r="B8" s="75" t="str">
        <x:v>GET</x:v>
      </x:c>
      <x:c r="C8" s="75" t="str">
        <x:v>/api/measurements/stats</x:v>
      </x:c>
      <x:c r="D8" s="75" t="str">
        <x:v>사용자</x:v>
      </x:c>
      <x:c r="E8" s="38" t="str">
        <x:v>기간 평균</x:v>
      </x:c>
      <x:c r="F8" s="75" t="str">
        <x:v>Bearer</x:v>
      </x:c>
      <x:c r="G8" s="38" t="str">
        <x:v>start_date, end_date</x:v>
      </x:c>
      <x:c r="H8" s="38" t="str">
        <x:v>200 + statistics</x:v>
      </x:c>
      <x:c r="I8" s="38" t="str">
        <x:v>400 날짜 오류</x:v>
      </x:c>
      <x:c r="J8" s="38" t="str">
        <x:v>현재 기록으로 계산</x:v>
      </x:c>
    </x:row>
    <x:row r="9" ht="15" hidden="0" customHeight="1">
      <x:c r="A9" s="75" t="str">
        <x:v>API-007</x:v>
      </x:c>
      <x:c r="B9" s="75" t="str">
        <x:v>GET</x:v>
      </x:c>
      <x:c r="C9" s="75" t="str">
        <x:v>/api/stats</x:v>
      </x:c>
      <x:c r="D9" s="75" t="str">
        <x:v>사용자</x:v>
      </x:c>
      <x:c r="E9" s="38" t="str">
        <x:v>기간 평균</x:v>
      </x:c>
      <x:c r="F9" s="75" t="str">
        <x:v>Bearer</x:v>
      </x:c>
      <x:c r="G9" s="38" t="str">
        <x:v>start_date, end_date</x:v>
      </x:c>
      <x:c r="H9" s="38" t="str">
        <x:v>200 + statistics</x:v>
      </x:c>
      <x:c r="I9" s="38" t="str">
        <x:v>400 날짜 오류</x:v>
      </x:c>
      <x:c r="J9" s="38" t="str">
        <x:v>API-006 별칭</x:v>
      </x:c>
    </x:row>
    <x:row r="10" ht="15" hidden="0" customHeight="1">
      <x:c r="A10" s="75" t="str">
        <x:v>API-008</x:v>
      </x:c>
      <x:c r="B10" s="75" t="str">
        <x:v>POST</x:v>
      </x:c>
      <x:c r="C10" s="75" t="str">
        <x:v>/api/measurements</x:v>
      </x:c>
      <x:c r="D10" s="75" t="str">
        <x:v>사용자</x:v>
      </x:c>
      <x:c r="E10" s="38" t="str">
        <x:v>측정 등록</x:v>
      </x:c>
      <x:c r="F10" s="75" t="str">
        <x:v>Bearer</x:v>
      </x:c>
      <x:c r="G10" s="38" t="str">
        <x:v>date,height,weight,systolic,diastolic,blood_sugar,memo</x:v>
      </x:c>
      <x:c r="H10" s="38" t="str">
        <x:v>201 + measurement/warnings/statistics</x:v>
      </x:c>
      <x:c r="I10" s="38" t="str">
        <x:v>400 검증 오류</x:v>
      </x:c>
      <x:c r="J10" s="38" t="str">
        <x:v>건강 계산 후 저장</x:v>
      </x:c>
    </x:row>
    <x:row r="11" ht="15" hidden="0" customHeight="1">
      <x:c r="A11" s="75" t="str">
        <x:v>API-009</x:v>
      </x:c>
      <x:c r="B11" s="75" t="str">
        <x:v>GET</x:v>
      </x:c>
      <x:c r="C11" s="75" t="str">
        <x:v>/api/measurements/{id}</x:v>
      </x:c>
      <x:c r="D11" s="75" t="str">
        <x:v>사용자/관리자</x:v>
      </x:c>
      <x:c r="E11" s="38" t="str">
        <x:v>측정 상세</x:v>
      </x:c>
      <x:c r="F11" s="75" t="str">
        <x:v>Bearer</x:v>
      </x:c>
      <x:c r="G11" s="38" t="str">
        <x:v>path id</x:v>
      </x:c>
      <x:c r="H11" s="38" t="str">
        <x:v>200 + measurement</x:v>
      </x:c>
      <x:c r="I11" s="38" t="str">
        <x:v>403 소유권, 404 없음</x:v>
      </x:c>
      <x:c r="J11" s="38" t="str">
        <x:v>관리자는 전체 조회</x:v>
      </x:c>
    </x:row>
    <x:row r="12" ht="15" hidden="0" customHeight="1">
      <x:c r="A12" s="75" t="str">
        <x:v>API-010</x:v>
      </x:c>
      <x:c r="B12" s="75" t="str">
        <x:v>PUT</x:v>
      </x:c>
      <x:c r="C12" s="75" t="str">
        <x:v>/api/measurements/{id}</x:v>
      </x:c>
      <x:c r="D12" s="75" t="str">
        <x:v>사용자</x:v>
      </x:c>
      <x:c r="E12" s="38" t="str">
        <x:v>측정 전체 수정</x:v>
      </x:c>
      <x:c r="F12" s="75" t="str">
        <x:v>Bearer</x:v>
      </x:c>
      <x:c r="G12" s="38" t="str">
        <x:v>전체 측정 필드</x:v>
      </x:c>
      <x:c r="H12" s="38" t="str">
        <x:v>200 + measurement/warnings/statistics</x:v>
      </x:c>
      <x:c r="I12" s="38" t="str">
        <x:v>400/403/404</x:v>
      </x:c>
      <x:c r="J12" s="38" t="str">
        <x:v>관리자 불가</x:v>
      </x:c>
    </x:row>
    <x:row r="13" ht="15" hidden="0" customHeight="1">
      <x:c r="A13" s="75" t="str">
        <x:v>API-011</x:v>
      </x:c>
      <x:c r="B13" s="75" t="str">
        <x:v>DELETE</x:v>
      </x:c>
      <x:c r="C13" s="75" t="str">
        <x:v>/api/measurements/{id}</x:v>
      </x:c>
      <x:c r="D13" s="75" t="str">
        <x:v>사용자/관리자</x:v>
      </x:c>
      <x:c r="E13" s="38" t="str">
        <x:v>측정 삭제</x:v>
      </x:c>
      <x:c r="F13" s="75" t="str">
        <x:v>Bearer</x:v>
      </x:c>
      <x:c r="G13" s="38" t="str">
        <x:v>path id</x:v>
      </x:c>
      <x:c r="H13" s="38" t="str">
        <x:v>200 + deleted_by/statistics</x:v>
      </x:c>
      <x:c r="I13" s="38" t="str">
        <x:v>403/404</x:v>
      </x:c>
      <x:c r="J13" s="38" t="str">
        <x:v>사용자는 본인만</x:v>
      </x:c>
    </x:row>
    <x:row r="14" ht="15" hidden="0" customHeight="1">
      <x:c r="A14" s="75" t="str">
        <x:v>API-012</x:v>
      </x:c>
      <x:c r="B14" s="75" t="str">
        <x:v>GET</x:v>
      </x:c>
      <x:c r="C14" s="75" t="str">
        <x:v>/api/users</x:v>
      </x:c>
      <x:c r="D14" s="75" t="str">
        <x:v>관리자</x:v>
      </x:c>
      <x:c r="E14" s="38" t="str">
        <x:v>사용자 목록/검색</x:v>
      </x:c>
      <x:c r="F14" s="75" t="str">
        <x:v>Bearer</x:v>
      </x:c>
      <x:c r="G14" s="38" t="str">
        <x:v>keyword</x:v>
      </x:c>
      <x:c r="H14" s="38" t="str">
        <x:v>200 + users</x:v>
      </x:c>
      <x:c r="I14" s="38" t="str">
        <x:v>403 권한</x:v>
      </x:c>
      <x:c r="J14" s="38" t="str">
        <x:v>건수·위험 건수 포함</x:v>
      </x:c>
    </x:row>
    <x:row r="15" ht="15" hidden="0" customHeight="1">
      <x:c r="A15" s="75" t="str">
        <x:v>API-013</x:v>
      </x:c>
      <x:c r="B15" s="75" t="str">
        <x:v>GET</x:v>
      </x:c>
      <x:c r="C15" s="75" t="str">
        <x:v>/api/users/{user_id}</x:v>
      </x:c>
      <x:c r="D15" s="75" t="str">
        <x:v>관리자</x:v>
      </x:c>
      <x:c r="E15" s="38" t="str">
        <x:v>사용자 상세</x:v>
      </x:c>
      <x:c r="F15" s="75" t="str">
        <x:v>Bearer</x:v>
      </x:c>
      <x:c r="G15" s="38" t="str">
        <x:v>path user_id</x:v>
      </x:c>
      <x:c r="H15" s="38" t="str">
        <x:v>200 + user</x:v>
      </x:c>
      <x:c r="I15" s="38" t="str">
        <x:v>404 없음</x:v>
      </x:c>
      <x:c r="J15" s="38" t="str"/>
    </x:row>
    <x:row r="16" ht="15" hidden="0" customHeight="1">
      <x:c r="A16" s="75" t="str">
        <x:v>API-014</x:v>
      </x:c>
      <x:c r="B16" s="75" t="str">
        <x:v>GET</x:v>
      </x:c>
      <x:c r="C16" s="75" t="str">
        <x:v>/api/users/{user_id}/measurements</x:v>
      </x:c>
      <x:c r="D16" s="75" t="str">
        <x:v>관리자</x:v>
      </x:c>
      <x:c r="E16" s="38" t="str">
        <x:v>사용자 기록 목록</x:v>
      </x:c>
      <x:c r="F16" s="75" t="str">
        <x:v>Bearer</x:v>
      </x:c>
      <x:c r="G16" s="38" t="str">
        <x:v>start_date,end_date,page,page_size</x:v>
      </x:c>
      <x:c r="H16" s="38" t="str">
        <x:v>200 + user/measurements/pagination</x:v>
      </x:c>
      <x:c r="I16" s="38" t="str">
        <x:v>400/404</x:v>
      </x:c>
      <x:c r="J16" s="38" t="str"/>
    </x:row>
    <x:row r="17" ht="15" hidden="0" customHeight="1">
      <x:c r="A17" s="75" t="str">
        <x:v>API-015</x:v>
      </x:c>
      <x:c r="B17" s="75" t="str">
        <x:v>GET</x:v>
      </x:c>
      <x:c r="C17" s="75" t="str">
        <x:v>/api/users/{user_id}/measurements/stats</x:v>
      </x:c>
      <x:c r="D17" s="75" t="str">
        <x:v>관리자</x:v>
      </x:c>
      <x:c r="E17" s="38" t="str">
        <x:v>사용자 기간 평균</x:v>
      </x:c>
      <x:c r="F17" s="75" t="str">
        <x:v>Bearer</x:v>
      </x:c>
      <x:c r="G17" s="38" t="str">
        <x:v>start_date,end_date</x:v>
      </x:c>
      <x:c r="H17" s="38" t="str">
        <x:v>200 + user/statistics</x:v>
      </x:c>
      <x:c r="I17" s="38" t="str">
        <x:v>400/404</x:v>
      </x:c>
      <x:c r="J17" s="38" t="str"/>
    </x:row>
    <x:row r="18" ht="15" hidden="0" customHeight="1">
      <x:c r="A18" s="75" t="str">
        <x:v>API-016</x:v>
      </x:c>
      <x:c r="B18" s="75" t="str">
        <x:v>GET</x:v>
      </x:c>
      <x:c r="C18" s="75" t="str">
        <x:v>/api/health</x:v>
      </x:c>
      <x:c r="D18" s="75" t="str">
        <x:v>전체</x:v>
      </x:c>
      <x:c r="E18" s="38" t="str">
        <x:v>헬스 체크</x:v>
      </x:c>
      <x:c r="F18" s="75" t="str">
        <x:v>불필요</x:v>
      </x:c>
      <x:c r="G18" s="38" t="str">
        <x:v>없음</x:v>
      </x:c>
      <x:c r="H18" s="38" t="str">
        <x:v>200 + status/storage</x:v>
      </x:c>
      <x:c r="I18" s="38" t="str">
        <x:v>500 저장소 오류</x:v>
      </x:c>
      <x:c r="J18" s="38" t="str">
        <x:v>Docker healthcheck</x:v>
      </x:c>
    </x:row>
    <x:row r="19" ht="15" hidden="0" customHeight="1">
      <x:c r="A19" s="75" t="str">
        <x:v>API-017</x:v>
      </x:c>
      <x:c r="B19" s="75" t="str">
        <x:v>GET</x:v>
      </x:c>
      <x:c r="C19" s="75" t="str">
        <x:v>/api</x:v>
      </x:c>
      <x:c r="D19" s="75" t="str">
        <x:v>전체</x:v>
      </x:c>
      <x:c r="E19" s="38" t="str">
        <x:v>API 목록</x:v>
      </x:c>
      <x:c r="F19" s="75" t="str">
        <x:v>불필요</x:v>
      </x:c>
      <x:c r="G19" s="38" t="str">
        <x:v>없음</x:v>
      </x:c>
      <x:c r="H19" s="38" t="str">
        <x:v>200 + endpoints</x:v>
      </x:c>
      <x:c r="I19" s="38" t="str">
        <x:v>없음</x:v>
      </x:c>
      <x:c r="J19" s="38" t="str">
        <x:v>개발 확인용</x:v>
      </x:c>
    </x:row>
    <x:row r="20" ht="15" hidden="0" customHeight="1">
      <x:c r="A20" s="82"/>
      <x:c r="B20" s="82"/>
      <x:c r="C20" s="82"/>
      <x:c r="D20" s="82"/>
      <x:c r="E20" s="82"/>
      <x:c r="F20" s="82"/>
      <x:c r="G20" s="82"/>
      <x:c r="H20" s="82"/>
      <x:c r="I20" s="82"/>
      <x:c r="J20" s="82"/>
    </x:row>
    <x:row r="21" ht="15" hidden="0" customHeight="1">
      <x:c r="A21" s="82"/>
      <x:c r="B21" s="82"/>
      <x:c r="C21" s="82"/>
      <x:c r="D21" s="82"/>
      <x:c r="E21" s="82"/>
      <x:c r="F21" s="82"/>
      <x:c r="G21" s="82"/>
      <x:c r="H21" s="82"/>
      <x:c r="I21" s="82"/>
      <x:c r="J21" s="82"/>
    </x:row>
    <x:row r="22" ht="15" hidden="0" customHeight="1">
      <x:c r="A22" s="82"/>
      <x:c r="B22" s="82"/>
      <x:c r="C22" s="82"/>
      <x:c r="D22" s="82"/>
      <x:c r="E22" s="82"/>
      <x:c r="F22" s="82"/>
      <x:c r="G22" s="82"/>
      <x:c r="H22" s="82"/>
      <x:c r="I22" s="82"/>
      <x:c r="J22" s="82"/>
    </x:row>
    <x:row r="23" ht="15" hidden="0" customHeight="1">
      <x:c r="A23" s="82"/>
      <x:c r="B23" s="82"/>
      <x:c r="C23" s="82"/>
      <x:c r="D23" s="82"/>
      <x:c r="E23" s="82"/>
      <x:c r="F23" s="82"/>
      <x:c r="G23" s="82"/>
      <x:c r="H23" s="82"/>
      <x:c r="I23" s="82"/>
      <x:c r="J23" s="82"/>
    </x:row>
    <x:row r="24" ht="15" hidden="0" customHeight="1">
      <x:c r="A24" s="82"/>
      <x:c r="B24" s="82"/>
      <x:c r="C24" s="82"/>
      <x:c r="D24" s="82"/>
      <x:c r="E24" s="82"/>
      <x:c r="F24" s="82"/>
      <x:c r="G24" s="82"/>
      <x:c r="H24" s="82"/>
      <x:c r="I24" s="82"/>
      <x:c r="J24" s="82"/>
    </x:row>
    <x:row r="25" ht="15" hidden="0" customHeight="1">
      <x:c r="A25" s="82"/>
      <x:c r="B25" s="82"/>
      <x:c r="C25" s="82"/>
      <x:c r="D25" s="82"/>
      <x:c r="E25" s="82"/>
      <x:c r="F25" s="82"/>
      <x:c r="G25" s="82"/>
      <x:c r="H25" s="82"/>
      <x:c r="I25" s="82"/>
      <x:c r="J25" s="82"/>
    </x:row>
    <x:row r="26" ht="15" hidden="0" customHeight="1">
      <x:c r="A26" s="82"/>
      <x:c r="B26" s="82"/>
      <x:c r="C26" s="82"/>
      <x:c r="D26" s="82"/>
      <x:c r="E26" s="82"/>
      <x:c r="F26" s="82"/>
      <x:c r="G26" s="82"/>
      <x:c r="H26" s="82"/>
      <x:c r="I26" s="82"/>
      <x:c r="J26" s="82"/>
    </x:row>
    <x:row r="27" ht="15" hidden="0" customHeight="1">
      <x:c r="A27" s="82"/>
      <x:c r="B27" s="82"/>
      <x:c r="C27" s="82"/>
      <x:c r="D27" s="82"/>
      <x:c r="E27" s="82"/>
      <x:c r="F27" s="82"/>
      <x:c r="G27" s="82"/>
      <x:c r="H27" s="82"/>
      <x:c r="I27" s="82"/>
      <x:c r="J27" s="82"/>
    </x:row>
    <x:row r="28" ht="15" hidden="0" customHeight="1">
      <x:c r="A28" s="82"/>
      <x:c r="B28" s="82"/>
      <x:c r="C28" s="82"/>
      <x:c r="D28" s="82"/>
      <x:c r="E28" s="82"/>
      <x:c r="F28" s="82"/>
      <x:c r="G28" s="82"/>
      <x:c r="H28" s="82"/>
      <x:c r="I28" s="82"/>
      <x:c r="J28" s="82"/>
    </x:row>
    <x:row r="29" ht="15" hidden="0" customHeight="1">
      <x:c r="A29" s="82"/>
      <x:c r="B29" s="82"/>
      <x:c r="C29" s="82"/>
      <x:c r="D29" s="82"/>
      <x:c r="E29" s="82"/>
      <x:c r="F29" s="82"/>
      <x:c r="G29" s="82"/>
      <x:c r="H29" s="82"/>
      <x:c r="I29" s="82"/>
      <x:c r="J29" s="82"/>
    </x:row>
    <x:row r="30" ht="15" hidden="0" customHeight="1">
      <x:c r="A30" s="82"/>
      <x:c r="B30" s="82"/>
      <x:c r="C30" s="82"/>
      <x:c r="D30" s="82"/>
      <x:c r="E30" s="82"/>
      <x:c r="F30" s="82"/>
      <x:c r="G30" s="82"/>
      <x:c r="H30" s="82"/>
      <x:c r="I30" s="82"/>
      <x:c r="J30" s="82"/>
    </x:row>
    <x:row r="31" ht="15" hidden="0" customHeight="1">
      <x:c r="A31" s="82"/>
      <x:c r="B31" s="82"/>
      <x:c r="C31" s="82"/>
      <x:c r="D31" s="82"/>
      <x:c r="E31" s="82"/>
      <x:c r="F31" s="82"/>
      <x:c r="G31" s="82"/>
      <x:c r="H31" s="82"/>
      <x:c r="I31" s="82"/>
      <x:c r="J31" s="82"/>
    </x:row>
    <x:row r="32" ht="15" hidden="0" customHeight="1">
      <x:c r="A32" s="82"/>
      <x:c r="B32" s="82"/>
      <x:c r="C32" s="82"/>
      <x:c r="D32" s="82"/>
      <x:c r="E32" s="82"/>
      <x:c r="F32" s="82"/>
      <x:c r="G32" s="82"/>
      <x:c r="H32" s="82"/>
      <x:c r="I32" s="82"/>
      <x:c r="J32" s="82"/>
    </x:row>
    <x:row r="33" ht="15" hidden="0" customHeight="1">
      <x:c r="A33" s="82"/>
      <x:c r="B33" s="82"/>
      <x:c r="C33" s="82"/>
      <x:c r="D33" s="82"/>
      <x:c r="E33" s="82"/>
      <x:c r="F33" s="82"/>
      <x:c r="G33" s="82"/>
      <x:c r="H33" s="82"/>
      <x:c r="I33" s="82"/>
      <x:c r="J33" s="82"/>
    </x:row>
    <x:row r="34" ht="15" hidden="0" customHeight="1">
      <x:c r="A34" s="82"/>
      <x:c r="B34" s="82"/>
      <x:c r="C34" s="82"/>
      <x:c r="D34" s="82"/>
      <x:c r="E34" s="82"/>
      <x:c r="F34" s="82"/>
      <x:c r="G34" s="82"/>
      <x:c r="H34" s="82"/>
      <x:c r="I34" s="82"/>
      <x:c r="J34" s="82"/>
    </x:row>
    <x:row r="35" ht="15" hidden="0" customHeight="1">
      <x:c r="A35" s="82"/>
      <x:c r="B35" s="82"/>
      <x:c r="C35" s="82"/>
      <x:c r="D35" s="82"/>
      <x:c r="E35" s="82"/>
      <x:c r="F35" s="82"/>
      <x:c r="G35" s="82"/>
      <x:c r="H35" s="82"/>
      <x:c r="I35" s="82"/>
      <x:c r="J35" s="82"/>
    </x:row>
    <x:row r="36" ht="15" hidden="0" customHeight="1">
      <x:c r="A36" s="82"/>
      <x:c r="B36" s="82"/>
      <x:c r="C36" s="82"/>
      <x:c r="D36" s="82"/>
      <x:c r="E36" s="82"/>
      <x:c r="F36" s="82"/>
      <x:c r="G36" s="82"/>
      <x:c r="H36" s="82"/>
      <x:c r="I36" s="82"/>
      <x:c r="J36" s="82"/>
    </x:row>
    <x:row r="37" ht="15" hidden="0" customHeight="1">
      <x:c r="A37" s="82"/>
      <x:c r="B37" s="82"/>
      <x:c r="C37" s="82"/>
      <x:c r="D37" s="82"/>
      <x:c r="E37" s="82"/>
      <x:c r="F37" s="82"/>
      <x:c r="G37" s="82"/>
      <x:c r="H37" s="82"/>
      <x:c r="I37" s="82"/>
      <x:c r="J37" s="82"/>
    </x:row>
    <x:row r="38" ht="15" hidden="0" customHeight="1">
      <x:c r="A38" s="82"/>
      <x:c r="B38" s="82"/>
      <x:c r="C38" s="82"/>
      <x:c r="D38" s="82"/>
      <x:c r="E38" s="82"/>
      <x:c r="F38" s="82"/>
      <x:c r="G38" s="82"/>
      <x:c r="H38" s="82"/>
      <x:c r="I38" s="82"/>
      <x:c r="J38" s="82"/>
    </x:row>
    <x:row r="39" ht="15" hidden="0" customHeight="1">
      <x:c r="A39" s="82"/>
      <x:c r="B39" s="82"/>
      <x:c r="C39" s="82"/>
      <x:c r="D39" s="82"/>
      <x:c r="E39" s="82"/>
      <x:c r="F39" s="82"/>
      <x:c r="G39" s="82"/>
      <x:c r="H39" s="82"/>
      <x:c r="I39" s="82"/>
      <x:c r="J39" s="82"/>
    </x:row>
    <x:row r="40" ht="15" hidden="0" customHeight="1">
      <x:c r="A40" s="82"/>
      <x:c r="B40" s="82"/>
      <x:c r="C40" s="82"/>
      <x:c r="D40" s="82"/>
      <x:c r="E40" s="82"/>
      <x:c r="F40" s="82"/>
      <x:c r="G40" s="82"/>
      <x:c r="H40" s="82"/>
      <x:c r="I40" s="82"/>
      <x:c r="J40" s="82"/>
    </x:row>
    <x:row r="41" ht="15" hidden="0" customHeight="1">
      <x:c r="A41" s="82"/>
      <x:c r="B41" s="82"/>
      <x:c r="C41" s="82"/>
      <x:c r="D41" s="82"/>
      <x:c r="E41" s="82"/>
      <x:c r="F41" s="82"/>
      <x:c r="G41" s="82"/>
      <x:c r="H41" s="82"/>
      <x:c r="I41" s="82"/>
      <x:c r="J41" s="82"/>
    </x:row>
    <x:row r="42" ht="15" hidden="0" customHeight="1">
      <x:c r="A42" s="82"/>
      <x:c r="B42" s="82"/>
      <x:c r="C42" s="82"/>
      <x:c r="D42" s="82"/>
      <x:c r="E42" s="82"/>
      <x:c r="F42" s="82"/>
      <x:c r="G42" s="82"/>
      <x:c r="H42" s="82"/>
      <x:c r="I42" s="82"/>
      <x:c r="J42" s="82"/>
    </x:row>
    <x:row r="43" ht="15" hidden="0" customHeight="1">
      <x:c r="A43" s="82"/>
      <x:c r="B43" s="82"/>
      <x:c r="C43" s="82"/>
      <x:c r="D43" s="82"/>
      <x:c r="E43" s="82"/>
      <x:c r="F43" s="82"/>
      <x:c r="G43" s="82"/>
      <x:c r="H43" s="82"/>
      <x:c r="I43" s="82"/>
      <x:c r="J43" s="82"/>
    </x:row>
    <x:row r="44" ht="15" hidden="0" customHeight="1">
      <x:c r="A44" s="82"/>
      <x:c r="B44" s="82"/>
      <x:c r="C44" s="82"/>
      <x:c r="D44" s="82"/>
      <x:c r="E44" s="82"/>
      <x:c r="F44" s="82"/>
      <x:c r="G44" s="82"/>
      <x:c r="H44" s="82"/>
      <x:c r="I44" s="82"/>
      <x:c r="J44" s="82"/>
    </x:row>
    <x:row r="45" ht="15" hidden="0" customHeight="1">
      <x:c r="A45" s="82"/>
      <x:c r="B45" s="82"/>
      <x:c r="C45" s="82"/>
      <x:c r="D45" s="82"/>
      <x:c r="E45" s="82"/>
      <x:c r="F45" s="82"/>
      <x:c r="G45" s="82"/>
      <x:c r="H45" s="82"/>
      <x:c r="I45" s="82"/>
      <x:c r="J45" s="82"/>
    </x:row>
    <x:row r="46" ht="15" hidden="0" customHeight="1">
      <x:c r="A46" s="82"/>
      <x:c r="B46" s="82"/>
      <x:c r="C46" s="82"/>
      <x:c r="D46" s="82"/>
      <x:c r="E46" s="82"/>
      <x:c r="F46" s="82"/>
      <x:c r="G46" s="82"/>
      <x:c r="H46" s="82"/>
      <x:c r="I46" s="82"/>
      <x:c r="J46" s="82"/>
    </x:row>
    <x:row r="47" ht="15" hidden="0" customHeight="1">
      <x:c r="A47" s="82"/>
      <x:c r="B47" s="82"/>
      <x:c r="C47" s="82"/>
      <x:c r="D47" s="82"/>
      <x:c r="E47" s="82"/>
      <x:c r="F47" s="82"/>
      <x:c r="G47" s="82"/>
      <x:c r="H47" s="82"/>
      <x:c r="I47" s="82"/>
      <x:c r="J47" s="82"/>
    </x:row>
    <x:row r="48" ht="15" hidden="0" customHeight="1">
      <x:c r="A48" s="82"/>
      <x:c r="B48" s="82"/>
      <x:c r="C48" s="82"/>
      <x:c r="D48" s="82"/>
      <x:c r="E48" s="82"/>
      <x:c r="F48" s="82"/>
      <x:c r="G48" s="82"/>
      <x:c r="H48" s="82"/>
      <x:c r="I48" s="82"/>
      <x:c r="J48" s="82"/>
    </x:row>
    <x:row r="49" ht="15" hidden="0" customHeight="1">
      <x:c r="A49" s="82"/>
      <x:c r="B49" s="82"/>
      <x:c r="C49" s="82"/>
      <x:c r="D49" s="82"/>
      <x:c r="E49" s="82"/>
      <x:c r="F49" s="82"/>
      <x:c r="G49" s="82"/>
      <x:c r="H49" s="82"/>
      <x:c r="I49" s="82"/>
      <x:c r="J49" s="82"/>
    </x:row>
    <x:row r="50" ht="15" hidden="0" customHeight="1">
      <x:c r="A50" s="82"/>
      <x:c r="B50" s="82"/>
      <x:c r="C50" s="82"/>
      <x:c r="D50" s="82"/>
      <x:c r="E50" s="82"/>
      <x:c r="F50" s="82"/>
      <x:c r="G50" s="82"/>
      <x:c r="H50" s="82"/>
      <x:c r="I50" s="82"/>
      <x:c r="J50" s="82"/>
    </x:row>
    <x:row r="51" ht="15" hidden="0" customHeight="1">
      <x:c r="A51" s="82"/>
      <x:c r="B51" s="82"/>
      <x:c r="C51" s="82"/>
      <x:c r="D51" s="82"/>
      <x:c r="E51" s="82"/>
      <x:c r="F51" s="82"/>
      <x:c r="G51" s="82"/>
      <x:c r="H51" s="82"/>
      <x:c r="I51" s="82"/>
      <x:c r="J51" s="82"/>
    </x:row>
    <x:row r="52" ht="15" hidden="0" customHeight="1">
      <x:c r="A52" s="82"/>
      <x:c r="B52" s="82"/>
      <x:c r="C52" s="82"/>
      <x:c r="D52" s="82"/>
      <x:c r="E52" s="82"/>
      <x:c r="F52" s="82"/>
      <x:c r="G52" s="82"/>
      <x:c r="H52" s="82"/>
      <x:c r="I52" s="82"/>
      <x:c r="J52" s="82"/>
    </x:row>
    <x:row r="53" ht="15" hidden="0" customHeight="1">
      <x:c r="A53" s="82"/>
      <x:c r="B53" s="82"/>
      <x:c r="C53" s="82"/>
      <x:c r="D53" s="82"/>
      <x:c r="E53" s="82"/>
      <x:c r="F53" s="82"/>
      <x:c r="G53" s="82"/>
      <x:c r="H53" s="82"/>
      <x:c r="I53" s="82"/>
      <x:c r="J53" s="82"/>
    </x:row>
    <x:row r="54" ht="15" hidden="0" customHeight="1">
      <x:c r="A54" s="82"/>
      <x:c r="B54" s="82"/>
      <x:c r="C54" s="82"/>
      <x:c r="D54" s="82"/>
      <x:c r="E54" s="82"/>
      <x:c r="F54" s="82"/>
      <x:c r="G54" s="82"/>
      <x:c r="H54" s="82"/>
      <x:c r="I54" s="82"/>
      <x:c r="J54" s="82"/>
    </x:row>
    <x:row r="55" ht="15" hidden="0" customHeight="1">
      <x:c r="A55" s="82"/>
      <x:c r="B55" s="82"/>
      <x:c r="C55" s="82"/>
      <x:c r="D55" s="82"/>
      <x:c r="E55" s="82"/>
      <x:c r="F55" s="82"/>
      <x:c r="G55" s="82"/>
      <x:c r="H55" s="82"/>
      <x:c r="I55" s="82"/>
      <x:c r="J55" s="82"/>
    </x:row>
    <x:row r="56" ht="15" hidden="0" customHeight="1">
      <x:c r="A56" s="82"/>
      <x:c r="B56" s="82"/>
      <x:c r="C56" s="82"/>
      <x:c r="D56" s="82"/>
      <x:c r="E56" s="82"/>
      <x:c r="F56" s="82"/>
      <x:c r="G56" s="82"/>
      <x:c r="H56" s="82"/>
      <x:c r="I56" s="82"/>
      <x:c r="J56" s="82"/>
    </x:row>
    <x:row r="57" ht="15" hidden="0" customHeight="1">
      <x:c r="A57" s="82"/>
      <x:c r="B57" s="82"/>
      <x:c r="C57" s="82"/>
      <x:c r="D57" s="82"/>
      <x:c r="E57" s="82"/>
      <x:c r="F57" s="82"/>
      <x:c r="G57" s="82"/>
      <x:c r="H57" s="82"/>
      <x:c r="I57" s="82"/>
      <x:c r="J57" s="82"/>
    </x:row>
    <x:row r="58" ht="15" hidden="0" customHeight="1">
      <x:c r="A58" s="82"/>
      <x:c r="B58" s="82"/>
      <x:c r="C58" s="82"/>
      <x:c r="D58" s="82"/>
      <x:c r="E58" s="82"/>
      <x:c r="F58" s="82"/>
      <x:c r="G58" s="82"/>
      <x:c r="H58" s="82"/>
      <x:c r="I58" s="82"/>
      <x:c r="J58" s="82"/>
    </x:row>
    <x:row r="59" ht="15" hidden="0" customHeight="1">
      <x:c r="A59" s="82"/>
      <x:c r="B59" s="82"/>
      <x:c r="C59" s="82"/>
      <x:c r="D59" s="82"/>
      <x:c r="E59" s="82"/>
      <x:c r="F59" s="82"/>
      <x:c r="G59" s="82"/>
      <x:c r="H59" s="82"/>
      <x:c r="I59" s="82"/>
      <x:c r="J59" s="82"/>
    </x:row>
    <x:row r="60" ht="15" hidden="0" customHeight="1">
      <x:c r="A60" s="82"/>
      <x:c r="B60" s="82"/>
      <x:c r="C60" s="82"/>
      <x:c r="D60" s="82"/>
      <x:c r="E60" s="82"/>
      <x:c r="F60" s="82"/>
      <x:c r="G60" s="82"/>
      <x:c r="H60" s="82"/>
      <x:c r="I60" s="82"/>
      <x:c r="J60" s="82"/>
    </x:row>
    <x:row r="61" ht="15" hidden="0" customHeight="1">
      <x:c r="A61" s="82"/>
      <x:c r="B61" s="82"/>
      <x:c r="C61" s="82"/>
      <x:c r="D61" s="82"/>
      <x:c r="E61" s="82"/>
      <x:c r="F61" s="82"/>
      <x:c r="G61" s="82"/>
      <x:c r="H61" s="82"/>
      <x:c r="I61" s="82"/>
      <x:c r="J61" s="82"/>
    </x:row>
    <x:row r="62" ht="15" hidden="0" customHeight="1">
      <x:c r="A62" s="82"/>
      <x:c r="B62" s="82"/>
      <x:c r="C62" s="82"/>
      <x:c r="D62" s="82"/>
      <x:c r="E62" s="82"/>
      <x:c r="F62" s="82"/>
      <x:c r="G62" s="82"/>
      <x:c r="H62" s="82"/>
      <x:c r="I62" s="82"/>
      <x:c r="J62" s="82"/>
    </x:row>
    <x:row r="63" ht="15" hidden="0" customHeight="1">
      <x:c r="A63" s="82"/>
      <x:c r="B63" s="82"/>
      <x:c r="C63" s="82"/>
      <x:c r="D63" s="82"/>
      <x:c r="E63" s="82"/>
      <x:c r="F63" s="82"/>
      <x:c r="G63" s="82"/>
      <x:c r="H63" s="82"/>
      <x:c r="I63" s="82"/>
      <x:c r="J63" s="82"/>
    </x:row>
    <x:row r="64" ht="15" hidden="0" customHeight="1">
      <x:c r="A64" s="82"/>
      <x:c r="B64" s="82"/>
      <x:c r="C64" s="82"/>
      <x:c r="D64" s="82"/>
      <x:c r="E64" s="82"/>
      <x:c r="F64" s="82"/>
      <x:c r="G64" s="82"/>
      <x:c r="H64" s="82"/>
      <x:c r="I64" s="82"/>
      <x:c r="J64" s="82"/>
    </x:row>
    <x:row r="65" ht="15" hidden="0" customHeight="1">
      <x:c r="A65" s="82"/>
      <x:c r="B65" s="82"/>
      <x:c r="C65" s="82"/>
      <x:c r="D65" s="82"/>
      <x:c r="E65" s="82"/>
      <x:c r="F65" s="82"/>
      <x:c r="G65" s="82"/>
      <x:c r="H65" s="82"/>
      <x:c r="I65" s="82"/>
      <x:c r="J65" s="82"/>
    </x:row>
    <x:row r="66" ht="15" hidden="0" customHeight="1">
      <x:c r="A66" s="82"/>
      <x:c r="B66" s="82"/>
      <x:c r="C66" s="82"/>
      <x:c r="D66" s="82"/>
      <x:c r="E66" s="82"/>
      <x:c r="F66" s="82"/>
      <x:c r="G66" s="82"/>
      <x:c r="H66" s="82"/>
      <x:c r="I66" s="82"/>
      <x:c r="J66" s="82"/>
    </x:row>
    <x:row r="67" ht="15" hidden="0" customHeight="1">
      <x:c r="A67" s="82"/>
      <x:c r="B67" s="82"/>
      <x:c r="C67" s="82"/>
      <x:c r="D67" s="82"/>
      <x:c r="E67" s="82"/>
      <x:c r="F67" s="82"/>
      <x:c r="G67" s="82"/>
      <x:c r="H67" s="82"/>
      <x:c r="I67" s="82"/>
      <x:c r="J67" s="82"/>
    </x:row>
    <x:row r="68" ht="15" hidden="0" customHeight="1">
      <x:c r="A68" s="82"/>
      <x:c r="B68" s="82"/>
      <x:c r="C68" s="82"/>
      <x:c r="D68" s="82"/>
      <x:c r="E68" s="82"/>
      <x:c r="F68" s="82"/>
      <x:c r="G68" s="82"/>
      <x:c r="H68" s="82"/>
      <x:c r="I68" s="82"/>
      <x:c r="J68" s="82"/>
    </x:row>
    <x:row r="69" ht="15" hidden="0" customHeight="1">
      <x:c r="A69" s="82"/>
      <x:c r="B69" s="82"/>
      <x:c r="C69" s="82"/>
      <x:c r="D69" s="82"/>
      <x:c r="E69" s="82"/>
      <x:c r="F69" s="82"/>
      <x:c r="G69" s="82"/>
      <x:c r="H69" s="82"/>
      <x:c r="I69" s="82"/>
      <x:c r="J69" s="82"/>
    </x:row>
    <x:row r="70" ht="15" hidden="0" customHeight="1">
      <x:c r="A70" s="82"/>
      <x:c r="B70" s="82"/>
      <x:c r="C70" s="82"/>
      <x:c r="D70" s="82"/>
      <x:c r="E70" s="82"/>
      <x:c r="F70" s="82"/>
      <x:c r="G70" s="82"/>
      <x:c r="H70" s="82"/>
      <x:c r="I70" s="82"/>
      <x:c r="J70" s="82"/>
    </x:row>
    <x:row r="71" ht="15" hidden="0" customHeight="1">
      <x:c r="A71" s="82"/>
      <x:c r="B71" s="82"/>
      <x:c r="C71" s="82"/>
      <x:c r="D71" s="82"/>
      <x:c r="E71" s="82"/>
      <x:c r="F71" s="82"/>
      <x:c r="G71" s="82"/>
      <x:c r="H71" s="82"/>
      <x:c r="I71" s="82"/>
      <x:c r="J71" s="82"/>
    </x:row>
    <x:row r="72" ht="15" hidden="0" customHeight="1">
      <x:c r="A72" s="82"/>
      <x:c r="B72" s="82"/>
      <x:c r="C72" s="82"/>
      <x:c r="D72" s="82"/>
      <x:c r="E72" s="82"/>
      <x:c r="F72" s="82"/>
      <x:c r="G72" s="82"/>
      <x:c r="H72" s="82"/>
      <x:c r="I72" s="82"/>
      <x:c r="J72" s="82"/>
    </x:row>
    <x:row r="73" ht="15" hidden="0" customHeight="1">
      <x:c r="A73" s="82"/>
      <x:c r="B73" s="82"/>
      <x:c r="C73" s="82"/>
      <x:c r="D73" s="82"/>
      <x:c r="E73" s="82"/>
      <x:c r="F73" s="82"/>
      <x:c r="G73" s="82"/>
      <x:c r="H73" s="82"/>
      <x:c r="I73" s="82"/>
      <x:c r="J73" s="82"/>
    </x:row>
    <x:row r="74" ht="15" hidden="0" customHeight="1">
      <x:c r="A74" s="82"/>
      <x:c r="B74" s="82"/>
      <x:c r="C74" s="82"/>
      <x:c r="D74" s="82"/>
      <x:c r="E74" s="82"/>
      <x:c r="F74" s="82"/>
      <x:c r="G74" s="82"/>
      <x:c r="H74" s="82"/>
      <x:c r="I74" s="82"/>
      <x:c r="J74" s="82"/>
    </x:row>
    <x:row r="75" ht="15" hidden="0" customHeight="1">
      <x:c r="A75" s="82"/>
      <x:c r="B75" s="82"/>
      <x:c r="C75" s="82"/>
      <x:c r="D75" s="82"/>
      <x:c r="E75" s="82"/>
      <x:c r="F75" s="82"/>
      <x:c r="G75" s="82"/>
      <x:c r="H75" s="82"/>
      <x:c r="I75" s="82"/>
      <x:c r="J75" s="82"/>
    </x:row>
    <x:row r="76" ht="15" hidden="0" customHeight="1">
      <x:c r="A76" s="82"/>
      <x:c r="B76" s="82"/>
      <x:c r="C76" s="82"/>
      <x:c r="D76" s="82"/>
      <x:c r="E76" s="82"/>
      <x:c r="F76" s="82"/>
      <x:c r="G76" s="82"/>
      <x:c r="H76" s="82"/>
      <x:c r="I76" s="82"/>
      <x:c r="J76" s="82"/>
    </x:row>
    <x:row r="77" ht="15" hidden="0" customHeight="1">
      <x:c r="A77" s="82"/>
      <x:c r="B77" s="82"/>
      <x:c r="C77" s="82"/>
      <x:c r="D77" s="82"/>
      <x:c r="E77" s="82"/>
      <x:c r="F77" s="82"/>
      <x:c r="G77" s="82"/>
      <x:c r="H77" s="82"/>
      <x:c r="I77" s="82"/>
      <x:c r="J77" s="82"/>
    </x:row>
    <x:row r="78" ht="15" hidden="0" customHeight="1">
      <x:c r="A78" s="82"/>
      <x:c r="B78" s="82"/>
      <x:c r="C78" s="82"/>
      <x:c r="D78" s="82"/>
      <x:c r="E78" s="82"/>
      <x:c r="F78" s="82"/>
      <x:c r="G78" s="82"/>
      <x:c r="H78" s="82"/>
      <x:c r="I78" s="82"/>
      <x:c r="J78" s="82"/>
    </x:row>
    <x:row r="79" ht="15" hidden="0" customHeight="1">
      <x:c r="A79" s="82"/>
      <x:c r="B79" s="82"/>
      <x:c r="C79" s="82"/>
      <x:c r="D79" s="82"/>
      <x:c r="E79" s="82"/>
      <x:c r="F79" s="82"/>
      <x:c r="G79" s="82"/>
      <x:c r="H79" s="82"/>
      <x:c r="I79" s="82"/>
      <x:c r="J79" s="82"/>
    </x:row>
    <x:row r="80" ht="15" hidden="0" customHeight="1">
      <x:c r="A80" s="82"/>
      <x:c r="B80" s="82"/>
      <x:c r="C80" s="82"/>
      <x:c r="D80" s="82"/>
      <x:c r="E80" s="82"/>
      <x:c r="F80" s="82"/>
      <x:c r="G80" s="82"/>
      <x:c r="H80" s="82"/>
      <x:c r="I80" s="82"/>
      <x:c r="J80" s="82"/>
    </x:row>
    <x:row r="81" ht="15" hidden="0" customHeight="1">
      <x:c r="A81" s="82"/>
      <x:c r="B81" s="82"/>
      <x:c r="C81" s="82"/>
      <x:c r="D81" s="82"/>
      <x:c r="E81" s="82"/>
      <x:c r="F81" s="82"/>
      <x:c r="G81" s="82"/>
      <x:c r="H81" s="82"/>
      <x:c r="I81" s="82"/>
      <x:c r="J81" s="82"/>
    </x:row>
    <x:row r="82" ht="15" hidden="0" customHeight="1">
      <x:c r="A82" s="82"/>
      <x:c r="B82" s="82"/>
      <x:c r="C82" s="82"/>
      <x:c r="D82" s="82"/>
      <x:c r="E82" s="82"/>
      <x:c r="F82" s="82"/>
      <x:c r="G82" s="82"/>
      <x:c r="H82" s="82"/>
      <x:c r="I82" s="82"/>
      <x:c r="J82" s="82"/>
    </x:row>
    <x:row r="83" ht="15" hidden="0" customHeight="1">
      <x:c r="A83" s="82"/>
      <x:c r="B83" s="82"/>
      <x:c r="C83" s="82"/>
      <x:c r="D83" s="82"/>
      <x:c r="E83" s="82"/>
      <x:c r="F83" s="82"/>
      <x:c r="G83" s="82"/>
      <x:c r="H83" s="82"/>
      <x:c r="I83" s="82"/>
      <x:c r="J83" s="82"/>
    </x:row>
    <x:row r="84" ht="15" hidden="0" customHeight="1">
      <x:c r="A84" s="82"/>
      <x:c r="B84" s="82"/>
      <x:c r="C84" s="82"/>
      <x:c r="D84" s="82"/>
      <x:c r="E84" s="82"/>
      <x:c r="F84" s="82"/>
      <x:c r="G84" s="82"/>
      <x:c r="H84" s="82"/>
      <x:c r="I84" s="82"/>
      <x:c r="J84" s="82"/>
    </x:row>
    <x:row r="85" ht="15" hidden="0" customHeight="1">
      <x:c r="A85" s="82"/>
      <x:c r="B85" s="82"/>
      <x:c r="C85" s="82"/>
      <x:c r="D85" s="82"/>
      <x:c r="E85" s="82"/>
      <x:c r="F85" s="82"/>
      <x:c r="G85" s="82"/>
      <x:c r="H85" s="82"/>
      <x:c r="I85" s="82"/>
      <x:c r="J85" s="82"/>
    </x:row>
    <x:row r="86" ht="15" hidden="0" customHeight="1">
      <x:c r="A86" s="82"/>
      <x:c r="B86" s="82"/>
      <x:c r="C86" s="82"/>
      <x:c r="D86" s="82"/>
      <x:c r="E86" s="82"/>
      <x:c r="F86" s="82"/>
      <x:c r="G86" s="82"/>
      <x:c r="H86" s="82"/>
      <x:c r="I86" s="82"/>
      <x:c r="J86" s="82"/>
    </x:row>
    <x:row r="87" ht="15" hidden="0" customHeight="1">
      <x:c r="A87" s="82"/>
      <x:c r="B87" s="82"/>
      <x:c r="C87" s="82"/>
      <x:c r="D87" s="82"/>
      <x:c r="E87" s="82"/>
      <x:c r="F87" s="82"/>
      <x:c r="G87" s="82"/>
      <x:c r="H87" s="82"/>
      <x:c r="I87" s="82"/>
      <x:c r="J87" s="82"/>
    </x:row>
    <x:row r="88" ht="15" hidden="0" customHeight="1">
      <x:c r="A88" s="82"/>
      <x:c r="B88" s="82"/>
      <x:c r="C88" s="82"/>
      <x:c r="D88" s="82"/>
      <x:c r="E88" s="82"/>
      <x:c r="F88" s="82"/>
      <x:c r="G88" s="82"/>
      <x:c r="H88" s="82"/>
      <x:c r="I88" s="82"/>
      <x:c r="J88" s="82"/>
    </x:row>
    <x:row r="89" ht="15" hidden="0" customHeight="1">
      <x:c r="A89" s="82"/>
      <x:c r="B89" s="82"/>
      <x:c r="C89" s="82"/>
      <x:c r="D89" s="82"/>
      <x:c r="E89" s="82"/>
      <x:c r="F89" s="82"/>
      <x:c r="G89" s="82"/>
      <x:c r="H89" s="82"/>
      <x:c r="I89" s="82"/>
      <x:c r="J89" s="82"/>
    </x:row>
    <x:row r="90" ht="15" hidden="0" customHeight="1">
      <x:c r="A90" s="82"/>
      <x:c r="B90" s="82"/>
      <x:c r="C90" s="82"/>
      <x:c r="D90" s="82"/>
      <x:c r="E90" s="82"/>
      <x:c r="F90" s="82"/>
      <x:c r="G90" s="82"/>
      <x:c r="H90" s="82"/>
      <x:c r="I90" s="82"/>
      <x:c r="J90" s="82"/>
    </x:row>
    <x:row r="91" ht="15" hidden="0" customHeight="1">
      <x:c r="A91" s="82"/>
      <x:c r="B91" s="82"/>
      <x:c r="C91" s="82"/>
      <x:c r="D91" s="82"/>
      <x:c r="E91" s="82"/>
      <x:c r="F91" s="82"/>
      <x:c r="G91" s="82"/>
      <x:c r="H91" s="82"/>
      <x:c r="I91" s="82"/>
      <x:c r="J91" s="82"/>
    </x:row>
    <x:row r="92" ht="15" hidden="0" customHeight="1">
      <x:c r="A92" s="82"/>
      <x:c r="B92" s="82"/>
      <x:c r="C92" s="82"/>
      <x:c r="D92" s="82"/>
      <x:c r="E92" s="82"/>
      <x:c r="F92" s="82"/>
      <x:c r="G92" s="82"/>
      <x:c r="H92" s="82"/>
      <x:c r="I92" s="82"/>
      <x:c r="J92" s="82"/>
    </x:row>
    <x:row r="93" ht="15" hidden="0" customHeight="1">
      <x:c r="A93" s="82"/>
      <x:c r="B93" s="82"/>
      <x:c r="C93" s="82"/>
      <x:c r="D93" s="82"/>
      <x:c r="E93" s="82"/>
      <x:c r="F93" s="82"/>
      <x:c r="G93" s="82"/>
      <x:c r="H93" s="82"/>
      <x:c r="I93" s="82"/>
      <x:c r="J93" s="82"/>
    </x:row>
    <x:row r="94" ht="15" hidden="0" customHeight="1">
      <x:c r="A94" s="82"/>
      <x:c r="B94" s="82"/>
      <x:c r="C94" s="82"/>
      <x:c r="D94" s="82"/>
      <x:c r="E94" s="82"/>
      <x:c r="F94" s="82"/>
      <x:c r="G94" s="82"/>
      <x:c r="H94" s="82"/>
      <x:c r="I94" s="82"/>
      <x:c r="J94" s="82"/>
    </x:row>
    <x:row r="95" ht="15" hidden="0" customHeight="1">
      <x:c r="A95" s="82"/>
      <x:c r="B95" s="82"/>
      <x:c r="C95" s="82"/>
      <x:c r="D95" s="82"/>
      <x:c r="E95" s="82"/>
      <x:c r="F95" s="82"/>
      <x:c r="G95" s="82"/>
      <x:c r="H95" s="82"/>
      <x:c r="I95" s="82"/>
      <x:c r="J95" s="82"/>
    </x:row>
    <x:row r="96" ht="15" hidden="0" customHeight="1">
      <x:c r="A96" s="82"/>
      <x:c r="B96" s="82"/>
      <x:c r="C96" s="82"/>
      <x:c r="D96" s="82"/>
      <x:c r="E96" s="82"/>
      <x:c r="F96" s="82"/>
      <x:c r="G96" s="82"/>
      <x:c r="H96" s="82"/>
      <x:c r="I96" s="82"/>
      <x:c r="J96" s="82"/>
    </x:row>
    <x:row r="97" ht="15" hidden="0" customHeight="1">
      <x:c r="A97" s="82"/>
      <x:c r="B97" s="82"/>
      <x:c r="C97" s="82"/>
      <x:c r="D97" s="82"/>
      <x:c r="E97" s="82"/>
      <x:c r="F97" s="82"/>
      <x:c r="G97" s="82"/>
      <x:c r="H97" s="82"/>
      <x:c r="I97" s="82"/>
      <x:c r="J97" s="82"/>
    </x:row>
    <x:row r="98" ht="15" hidden="0" customHeight="1">
      <x:c r="A98" s="82"/>
      <x:c r="B98" s="82"/>
      <x:c r="C98" s="82"/>
      <x:c r="D98" s="82"/>
      <x:c r="E98" s="82"/>
      <x:c r="F98" s="82"/>
      <x:c r="G98" s="82"/>
      <x:c r="H98" s="82"/>
      <x:c r="I98" s="82"/>
      <x:c r="J98" s="82"/>
    </x:row>
    <x:row r="99" ht="15" hidden="0" customHeight="1">
      <x:c r="A99" s="82"/>
      <x:c r="B99" s="82"/>
      <x:c r="C99" s="82"/>
      <x:c r="D99" s="82"/>
      <x:c r="E99" s="82"/>
      <x:c r="F99" s="82"/>
      <x:c r="G99" s="82"/>
      <x:c r="H99" s="82"/>
      <x:c r="I99" s="82"/>
      <x:c r="J99" s="82"/>
    </x:row>
    <x:row r="100" ht="15" hidden="0" customHeight="1">
      <x:c r="A100" s="82"/>
      <x:c r="B100" s="82"/>
      <x:c r="C100" s="82"/>
      <x:c r="D100" s="82"/>
      <x:c r="E100" s="82"/>
      <x:c r="F100" s="82"/>
      <x:c r="G100" s="82"/>
      <x:c r="H100" s="82"/>
      <x:c r="I100" s="82"/>
      <x:c r="J100" s="82"/>
    </x:row>
  </x:sheetData>
  <x:mergeCells>
    <x:mergeCell ref="A1:J1"/>
  </x:mergeCells>
  <x:conditionalFormatting sqref="B3:B100">
    <x:cfRule type="expression" dxfId="4" priority="1">
      <x:formula>B3="GET"</x:formula>
    </x:cfRule>
    <x:cfRule type="expression" dxfId="5" priority="2">
      <x:formula>B3="POST"</x:formula>
    </x:cfRule>
    <x:cfRule type="expression" dxfId="6" priority="3">
      <x:formula>B3="PUT"</x:formula>
    </x:cfRule>
    <x:cfRule type="expression" dxfId="7" priority="4">
      <x:formula>B3="DELETE"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ad6be5ffee46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16" hidden="0" customWidth="1"/>
    <x:col min="5" max="5" width="24" hidden="0" customWidth="1"/>
    <x:col min="6" max="6" width="10" hidden="0" customWidth="1"/>
    <x:col min="7" max="7" width="36" hidden="0" customWidth="1"/>
    <x:col min="8" max="8" width="40" hidden="0" customWidth="1"/>
    <x:col min="9" max="9" width="28" hidden="0" customWidth="1"/>
    <x:col min="10" max="10" width="12" hidden="0" customWidth="1"/>
  </x:cols>
  <x:sheetData>
    <x:row r="1" ht="64.80000305175781" hidden="0" customHeight="1">
      <x:c r="A1" s="80" t="str">
        <x:v>JSON 논리 데이터 모델 및 필드 정의</x:v>
      </x:c>
      <x:c r="B1" s="80"/>
      <x:c r="C1" s="80"/>
      <x:c r="D1" s="80"/>
      <x:c r="E1" s="80"/>
      <x:c r="F1" s="80"/>
      <x:c r="G1" s="80"/>
      <x:c r="H1" s="80"/>
      <x:c r="I1" s="80"/>
      <x:c r="J1" s="80"/>
    </x:row>
    <x:row r="2" ht="15" hidden="0" customHeight="1">
      <x:c r="A2" s="68" t="str">
        <x:v>논리 엔터티</x:v>
      </x:c>
      <x:c r="B2" s="68" t="str">
        <x:v>JSON 경로</x:v>
      </x:c>
      <x:c r="C2" s="68" t="str">
        <x:v>필드명</x:v>
      </x:c>
      <x:c r="D2" s="68" t="str">
        <x:v>타입</x:v>
      </x:c>
      <x:c r="E2" s="68" t="str">
        <x:v>키/관계</x:v>
      </x:c>
      <x:c r="F2" s="68" t="str">
        <x:v>필수</x:v>
      </x:c>
      <x:c r="G2" s="68" t="str">
        <x:v>설명</x:v>
      </x:c>
      <x:c r="H2" s="68" t="str">
        <x:v>검증/규칙</x:v>
      </x:c>
      <x:c r="I2" s="68" t="str">
        <x:v>예시</x:v>
      </x:c>
      <x:c r="J2" s="68" t="str">
        <x:v>저장 여부</x:v>
      </x:c>
    </x:row>
    <x:row r="3" ht="15" hidden="0" customHeight="1">
      <x:c r="A3" s="75" t="str">
        <x:v>DATA_STORE</x:v>
      </x:c>
      <x:c r="B3" s="75" t="str">
        <x:v>$</x:v>
      </x:c>
      <x:c r="C3" s="75" t="str">
        <x:v>schema_version</x:v>
      </x:c>
      <x:c r="D3" s="75" t="str">
        <x:v>integer</x:v>
      </x:c>
      <x:c r="E3" s="75" t="str">
        <x:v>메타</x:v>
      </x:c>
      <x:c r="F3" s="75" t="str">
        <x:v>Y</x:v>
      </x:c>
      <x:c r="G3" s="38" t="str">
        <x:v>데이터 구조 버전</x:v>
      </x:c>
      <x:c r="H3" s="38" t="str">
        <x:v>현재 1</x:v>
      </x:c>
      <x:c r="I3" s="38" t="str">
        <x:v>1</x:v>
      </x:c>
      <x:c r="J3" s="75" t="str">
        <x:v>영구</x:v>
      </x:c>
    </x:row>
    <x:row r="4" ht="15" hidden="0" customHeight="1">
      <x:c r="A4" s="75" t="str">
        <x:v>DATA_STORE</x:v>
      </x:c>
      <x:c r="B4" s="75" t="str">
        <x:v>$</x:v>
      </x:c>
      <x:c r="C4" s="75" t="str">
        <x:v>next_measurement_id</x:v>
      </x:c>
      <x:c r="D4" s="75" t="str">
        <x:v>integer</x:v>
      </x:c>
      <x:c r="E4" s="75" t="str">
        <x:v>측정 PK 시퀀스</x:v>
      </x:c>
      <x:c r="F4" s="75" t="str">
        <x:v>Y</x:v>
      </x:c>
      <x:c r="G4" s="38" t="str">
        <x:v>다음 측정 기록 ID</x:v>
      </x:c>
      <x:c r="H4" s="38" t="str">
        <x:v>최대 기존 ID+1 이상</x:v>
      </x:c>
      <x:c r="I4" s="38" t="str">
        <x:v>13</x:v>
      </x:c>
      <x:c r="J4" s="75" t="str">
        <x:v>영구</x:v>
      </x:c>
    </x:row>
    <x:row r="5" ht="15" hidden="0" customHeight="1">
      <x:c r="A5" s="75" t="str">
        <x:v>USER</x:v>
      </x:c>
      <x:c r="B5" s="75" t="str">
        <x:v>$.users[]</x:v>
      </x:c>
      <x:c r="C5" s="75" t="str">
        <x:v>user_id</x:v>
      </x:c>
      <x:c r="D5" s="75" t="str">
        <x:v>string</x:v>
      </x:c>
      <x:c r="E5" s="75" t="str">
        <x:v>PK</x:v>
      </x:c>
      <x:c r="F5" s="75" t="str">
        <x:v>Y</x:v>
      </x:c>
      <x:c r="G5" s="38" t="str">
        <x:v>사용자 로그인 ID</x:v>
      </x:c>
      <x:c r="H5" s="38" t="str">
        <x:v>중복 불가, 공백 불가</x:v>
      </x:c>
      <x:c r="I5" s="38" t="str">
        <x:v>user01</x:v>
      </x:c>
      <x:c r="J5" s="75" t="str">
        <x:v>영구</x:v>
      </x:c>
    </x:row>
    <x:row r="6" ht="15" hidden="0" customHeight="1">
      <x:c r="A6" s="75" t="str">
        <x:v>USER</x:v>
      </x:c>
      <x:c r="B6" s="75" t="str">
        <x:v>$.users[]</x:v>
      </x:c>
      <x:c r="C6" s="75" t="str">
        <x:v>pw</x:v>
      </x:c>
      <x:c r="D6" s="75" t="str">
        <x:v>string</x:v>
      </x:c>
      <x:c r="E6" s="75" t="str">
        <x:v>-</x:v>
      </x:c>
      <x:c r="F6" s="75" t="str">
        <x:v>Y</x:v>
      </x:c>
      <x:c r="G6" s="38" t="str">
        <x:v>해시된 비밀번호</x:v>
      </x:c>
      <x:c r="H6" s="38" t="str">
        <x:v>PBKDF2 SHA-256</x:v>
      </x:c>
      <x:c r="I6" s="38" t="str">
        <x:v>salt:hash</x:v>
      </x:c>
      <x:c r="J6" s="75" t="str">
        <x:v>영구</x:v>
      </x:c>
    </x:row>
    <x:row r="7" ht="15" hidden="0" customHeight="1">
      <x:c r="A7" s="75" t="str">
        <x:v>USER</x:v>
      </x:c>
      <x:c r="B7" s="75" t="str">
        <x:v>$.users[]</x:v>
      </x:c>
      <x:c r="C7" s="75" t="str">
        <x:v>name</x:v>
      </x:c>
      <x:c r="D7" s="75" t="str">
        <x:v>string</x:v>
      </x:c>
      <x:c r="E7" s="75" t="str">
        <x:v>-</x:v>
      </x:c>
      <x:c r="F7" s="75" t="str">
        <x:v>Y</x:v>
      </x:c>
      <x:c r="G7" s="38" t="str">
        <x:v>사용자 이름</x:v>
      </x:c>
      <x:c r="H7" s="38" t="str">
        <x:v>공백 불가</x:v>
      </x:c>
      <x:c r="I7" s="38" t="str">
        <x:v>홍길동</x:v>
      </x:c>
      <x:c r="J7" s="75" t="str">
        <x:v>영구</x:v>
      </x:c>
    </x:row>
    <x:row r="8" ht="15" hidden="0" customHeight="1">
      <x:c r="A8" s="75" t="str">
        <x:v>USER</x:v>
      </x:c>
      <x:c r="B8" s="75" t="str">
        <x:v>$.users[]</x:v>
      </x:c>
      <x:c r="C8" s="75" t="str">
        <x:v>birth</x:v>
      </x:c>
      <x:c r="D8" s="75" t="str">
        <x:v>date string</x:v>
      </x:c>
      <x:c r="E8" s="75" t="str">
        <x:v>-</x:v>
      </x:c>
      <x:c r="F8" s="75" t="str">
        <x:v>Y</x:v>
      </x:c>
      <x:c r="G8" s="38" t="str">
        <x:v>생년월일</x:v>
      </x:c>
      <x:c r="H8" s="38" t="str">
        <x:v>YYYY-MM-DD, 미래 불가</x:v>
      </x:c>
      <x:c r="I8" s="38" t="str">
        <x:v>2002-05-15</x:v>
      </x:c>
      <x:c r="J8" s="75" t="str">
        <x:v>영구</x:v>
      </x:c>
    </x:row>
    <x:row r="9" ht="15" hidden="0" customHeight="1">
      <x:c r="A9" s="75" t="str">
        <x:v>MEASUREMENT</x:v>
      </x:c>
      <x:c r="B9" s="75" t="str">
        <x:v>$.measurements[]</x:v>
      </x:c>
      <x:c r="C9" s="75" t="str">
        <x:v>id</x:v>
      </x:c>
      <x:c r="D9" s="75" t="str">
        <x:v>integer</x:v>
      </x:c>
      <x:c r="E9" s="75" t="str">
        <x:v>PK</x:v>
      </x:c>
      <x:c r="F9" s="75" t="str">
        <x:v>Y</x:v>
      </x:c>
      <x:c r="G9" s="38" t="str">
        <x:v>측정 기록 ID</x:v>
      </x:c>
      <x:c r="H9" s="38" t="str">
        <x:v>next_measurement_id 사용</x:v>
      </x:c>
      <x:c r="I9" s="38" t="str">
        <x:v>1</x:v>
      </x:c>
      <x:c r="J9" s="75" t="str">
        <x:v>영구</x:v>
      </x:c>
    </x:row>
    <x:row r="10" ht="15" hidden="0" customHeight="1">
      <x:c r="A10" s="75" t="str">
        <x:v>MEASUREMENT</x:v>
      </x:c>
      <x:c r="B10" s="75" t="str">
        <x:v>$.measurements[]</x:v>
      </x:c>
      <x:c r="C10" s="75" t="str">
        <x:v>user_id</x:v>
      </x:c>
      <x:c r="D10" s="75" t="str">
        <x:v>string</x:v>
      </x:c>
      <x:c r="E10" s="75" t="str">
        <x:v>FK -&gt; USER.user_id</x:v>
      </x:c>
      <x:c r="F10" s="75" t="str">
        <x:v>Y</x:v>
      </x:c>
      <x:c r="G10" s="38" t="str">
        <x:v>측정 소유 사용자</x:v>
      </x:c>
      <x:c r="H10" s="38" t="str">
        <x:v>존재 사용자만 허용</x:v>
      </x:c>
      <x:c r="I10" s="38" t="str">
        <x:v>user01</x:v>
      </x:c>
      <x:c r="J10" s="75" t="str">
        <x:v>영구</x:v>
      </x:c>
    </x:row>
    <x:row r="11" ht="15" hidden="0" customHeight="1">
      <x:c r="A11" s="75" t="str">
        <x:v>MEASUREMENT</x:v>
      </x:c>
      <x:c r="B11" s="75" t="str">
        <x:v>$.measurements[]</x:v>
      </x:c>
      <x:c r="C11" s="75" t="str">
        <x:v>date</x:v>
      </x:c>
      <x:c r="D11" s="75" t="str">
        <x:v>date string</x:v>
      </x:c>
      <x:c r="E11" s="75" t="str">
        <x:v>UK(user_id,date)</x:v>
      </x:c>
      <x:c r="F11" s="75" t="str">
        <x:v>Y</x:v>
      </x:c>
      <x:c r="G11" s="38" t="str">
        <x:v>측정 날짜</x:v>
      </x:c>
      <x:c r="H11" s="38" t="str">
        <x:v>YYYY-MM-DD, 미래 불가, 사용자별 하루 1건</x:v>
      </x:c>
      <x:c r="I11" s="38" t="str">
        <x:v>2026-07-21</x:v>
      </x:c>
      <x:c r="J11" s="75" t="str">
        <x:v>영구</x:v>
      </x:c>
    </x:row>
    <x:row r="12" ht="15" hidden="0" customHeight="1">
      <x:c r="A12" s="75" t="str">
        <x:v>MEASUREMENT</x:v>
      </x:c>
      <x:c r="B12" s="75" t="str">
        <x:v>$.measurements[]</x:v>
      </x:c>
      <x:c r="C12" s="75" t="str">
        <x:v>height</x:v>
      </x:c>
      <x:c r="D12" s="75" t="str">
        <x:v>number</x:v>
      </x:c>
      <x:c r="E12" s="75" t="str">
        <x:v>-</x:v>
      </x:c>
      <x:c r="F12" s="75" t="str">
        <x:v>Y</x:v>
      </x:c>
      <x:c r="G12" s="38" t="str">
        <x:v>키(cm)</x:v>
      </x:c>
      <x:c r="H12" s="38" t="str">
        <x:v>0 초과, 인접 날짜 3cm 이상 차단</x:v>
      </x:c>
      <x:c r="I12" s="38" t="str">
        <x:v>178.9</x:v>
      </x:c>
      <x:c r="J12" s="75" t="str">
        <x:v>영구</x:v>
      </x:c>
    </x:row>
    <x:row r="13" ht="15" hidden="0" customHeight="1">
      <x:c r="A13" s="75" t="str">
        <x:v>MEASUREMENT</x:v>
      </x:c>
      <x:c r="B13" s="75" t="str">
        <x:v>$.measurements[]</x:v>
      </x:c>
      <x:c r="C13" s="75" t="str">
        <x:v>weight</x:v>
      </x:c>
      <x:c r="D13" s="75" t="str">
        <x:v>number</x:v>
      </x:c>
      <x:c r="E13" s="75" t="str">
        <x:v>-</x:v>
      </x:c>
      <x:c r="F13" s="75" t="str">
        <x:v>Y</x:v>
      </x:c>
      <x:c r="G13" s="38" t="str">
        <x:v>몸무게(kg)</x:v>
      </x:c>
      <x:c r="H13" s="38" t="str">
        <x:v>0 초과, 인접 날짜 5kg 이상 차단</x:v>
      </x:c>
      <x:c r="I13" s="38" t="str">
        <x:v>63.5</x:v>
      </x:c>
      <x:c r="J13" s="75" t="str">
        <x:v>영구</x:v>
      </x:c>
    </x:row>
    <x:row r="14" ht="15" hidden="0" customHeight="1">
      <x:c r="A14" s="75" t="str">
        <x:v>MEASUREMENT</x:v>
      </x:c>
      <x:c r="B14" s="75" t="str">
        <x:v>$.measurements[]</x:v>
      </x:c>
      <x:c r="C14" s="75" t="str">
        <x:v>systolic</x:v>
      </x:c>
      <x:c r="D14" s="75" t="str">
        <x:v>integer</x:v>
      </x:c>
      <x:c r="E14" s="75" t="str">
        <x:v>-</x:v>
      </x:c>
      <x:c r="F14" s="75" t="str">
        <x:v>Y</x:v>
      </x:c>
      <x:c r="G14" s="38" t="str">
        <x:v>수축기 혈압</x:v>
      </x:c>
      <x:c r="H14" s="38" t="str">
        <x:v>1 이상, diastolic보다 큼</x:v>
      </x:c>
      <x:c r="I14" s="38" t="str">
        <x:v>118</x:v>
      </x:c>
      <x:c r="J14" s="75" t="str">
        <x:v>영구</x:v>
      </x:c>
    </x:row>
    <x:row r="15" ht="15" hidden="0" customHeight="1">
      <x:c r="A15" s="75" t="str">
        <x:v>MEASUREMENT</x:v>
      </x:c>
      <x:c r="B15" s="75" t="str">
        <x:v>$.measurements[]</x:v>
      </x:c>
      <x:c r="C15" s="75" t="str">
        <x:v>diastolic</x:v>
      </x:c>
      <x:c r="D15" s="75" t="str">
        <x:v>integer</x:v>
      </x:c>
      <x:c r="E15" s="75" t="str">
        <x:v>-</x:v>
      </x:c>
      <x:c r="F15" s="75" t="str">
        <x:v>Y</x:v>
      </x:c>
      <x:c r="G15" s="38" t="str">
        <x:v>이완기 혈압</x:v>
      </x:c>
      <x:c r="H15" s="38" t="str">
        <x:v>1 이상</x:v>
      </x:c>
      <x:c r="I15" s="38" t="str">
        <x:v>78</x:v>
      </x:c>
      <x:c r="J15" s="75" t="str">
        <x:v>영구</x:v>
      </x:c>
    </x:row>
    <x:row r="16" ht="15" hidden="0" customHeight="1">
      <x:c r="A16" s="75" t="str">
        <x:v>MEASUREMENT</x:v>
      </x:c>
      <x:c r="B16" s="75" t="str">
        <x:v>$.measurements[]</x:v>
      </x:c>
      <x:c r="C16" s="75" t="str">
        <x:v>blood_sugar</x:v>
      </x:c>
      <x:c r="D16" s="75" t="str">
        <x:v>number</x:v>
      </x:c>
      <x:c r="E16" s="75" t="str">
        <x:v>-</x:v>
      </x:c>
      <x:c r="F16" s="75" t="str">
        <x:v>Y</x:v>
      </x:c>
      <x:c r="G16" s="38" t="str">
        <x:v>공복 혈당(mg/dL)</x:v>
      </x:c>
      <x:c r="H16" s="38" t="str">
        <x:v>0 이상</x:v>
      </x:c>
      <x:c r="I16" s="38" t="str">
        <x:v>92</x:v>
      </x:c>
      <x:c r="J16" s="75" t="str">
        <x:v>영구</x:v>
      </x:c>
    </x:row>
    <x:row r="17" ht="15" hidden="0" customHeight="1">
      <x:c r="A17" s="75" t="str">
        <x:v>MEASUREMENT</x:v>
      </x:c>
      <x:c r="B17" s="75" t="str">
        <x:v>$.measurements[]</x:v>
      </x:c>
      <x:c r="C17" s="75" t="str">
        <x:v>bmi</x:v>
      </x:c>
      <x:c r="D17" s="75" t="str">
        <x:v>number/null</x:v>
      </x:c>
      <x:c r="E17" s="75" t="str">
        <x:v>파생</x:v>
      </x:c>
      <x:c r="F17" s="75" t="str">
        <x:v>N</x:v>
      </x:c>
      <x:c r="G17" s="38" t="str">
        <x:v>BMI 계산값</x:v>
      </x:c>
      <x:c r="H17" s="38" t="str">
        <x:v>소수점 첫째 자리</x:v>
      </x:c>
      <x:c r="I17" s="38" t="str">
        <x:v>19.7</x:v>
      </x:c>
      <x:c r="J17" s="75" t="str">
        <x:v>영구</x:v>
      </x:c>
    </x:row>
    <x:row r="18" ht="15" hidden="0" customHeight="1">
      <x:c r="A18" s="75" t="str">
        <x:v>MEASUREMENT</x:v>
      </x:c>
      <x:c r="B18" s="75" t="str">
        <x:v>$.measurements[]</x:v>
      </x:c>
      <x:c r="C18" s="75" t="str">
        <x:v>bmi_category</x:v>
      </x:c>
      <x:c r="D18" s="75" t="str">
        <x:v>string</x:v>
      </x:c>
      <x:c r="E18" s="75" t="str">
        <x:v>파생</x:v>
      </x:c>
      <x:c r="F18" s="75" t="str">
        <x:v>Y</x:v>
      </x:c>
      <x:c r="G18" s="38" t="str">
        <x:v>BMI 판정</x:v>
      </x:c>
      <x:c r="H18" s="38" t="str">
        <x:v>저체중/정상/과체중/비만</x:v>
      </x:c>
      <x:c r="I18" s="38" t="str">
        <x:v>정상</x:v>
      </x:c>
      <x:c r="J18" s="75" t="str">
        <x:v>영구</x:v>
      </x:c>
    </x:row>
    <x:row r="19" ht="15" hidden="0" customHeight="1">
      <x:c r="A19" s="75" t="str">
        <x:v>MEASUREMENT</x:v>
      </x:c>
      <x:c r="B19" s="75" t="str">
        <x:v>$.measurements[]</x:v>
      </x:c>
      <x:c r="C19" s="75" t="str">
        <x:v>bmi_status</x:v>
      </x:c>
      <x:c r="D19" s="75" t="str">
        <x:v>enum</x:v>
      </x:c>
      <x:c r="E19" s="75" t="str">
        <x:v>파생</x:v>
      </x:c>
      <x:c r="F19" s="75" t="str">
        <x:v>Y</x:v>
      </x:c>
      <x:c r="G19" s="38" t="str">
        <x:v>BMI 표시 상태</x:v>
      </x:c>
      <x:c r="H19" s="38" t="str">
        <x:v>yellow/green/orange/red/neutral</x:v>
      </x:c>
      <x:c r="I19" s="38" t="str">
        <x:v>green</x:v>
      </x:c>
      <x:c r="J19" s="75" t="str">
        <x:v>영구</x:v>
      </x:c>
    </x:row>
    <x:row r="20" ht="15" hidden="0" customHeight="1">
      <x:c r="A20" s="75" t="str">
        <x:v>MEASUREMENT</x:v>
      </x:c>
      <x:c r="B20" s="75" t="str">
        <x:v>$.measurements[]</x:v>
      </x:c>
      <x:c r="C20" s="75" t="str">
        <x:v>blood_pressure_category</x:v>
      </x:c>
      <x:c r="D20" s="75" t="str">
        <x:v>string</x:v>
      </x:c>
      <x:c r="E20" s="75" t="str">
        <x:v>파생</x:v>
      </x:c>
      <x:c r="F20" s="75" t="str">
        <x:v>Y</x:v>
      </x:c>
      <x:c r="G20" s="38" t="str">
        <x:v>혈압 판정</x:v>
      </x:c>
      <x:c r="H20" s="38" t="str">
        <x:v>정상/주의/고혈압</x:v>
      </x:c>
      <x:c r="I20" s="38" t="str">
        <x:v>정상</x:v>
      </x:c>
      <x:c r="J20" s="75" t="str">
        <x:v>영구</x:v>
      </x:c>
    </x:row>
    <x:row r="21" ht="15" hidden="0" customHeight="1">
      <x:c r="A21" s="75" t="str">
        <x:v>MEASUREMENT</x:v>
      </x:c>
      <x:c r="B21" s="75" t="str">
        <x:v>$.measurements[]</x:v>
      </x:c>
      <x:c r="C21" s="75" t="str">
        <x:v>blood_pressure_status</x:v>
      </x:c>
      <x:c r="D21" s="75" t="str">
        <x:v>enum</x:v>
      </x:c>
      <x:c r="E21" s="75" t="str">
        <x:v>파생</x:v>
      </x:c>
      <x:c r="F21" s="75" t="str">
        <x:v>Y</x:v>
      </x:c>
      <x:c r="G21" s="38" t="str">
        <x:v>혈압 표시 상태</x:v>
      </x:c>
      <x:c r="H21" s="38" t="str">
        <x:v>green/orange/red/neutral</x:v>
      </x:c>
      <x:c r="I21" s="38" t="str">
        <x:v>green</x:v>
      </x:c>
      <x:c r="J21" s="75" t="str">
        <x:v>영구</x:v>
      </x:c>
    </x:row>
    <x:row r="22" ht="15" hidden="0" customHeight="1">
      <x:c r="A22" s="75" t="str">
        <x:v>MEASUREMENT</x:v>
      </x:c>
      <x:c r="B22" s="75" t="str">
        <x:v>$.measurements[]</x:v>
      </x:c>
      <x:c r="C22" s="75" t="str">
        <x:v>fasting_glucose_category</x:v>
      </x:c>
      <x:c r="D22" s="75" t="str">
        <x:v>string</x:v>
      </x:c>
      <x:c r="E22" s="75" t="str">
        <x:v>파생</x:v>
      </x:c>
      <x:c r="F22" s="75" t="str">
        <x:v>Y</x:v>
      </x:c>
      <x:c r="G22" s="38" t="str">
        <x:v>공복 혈당 판정</x:v>
      </x:c>
      <x:c r="H22" s="38" t="str">
        <x:v>정상/공복혈당장애/당뇨 의심</x:v>
      </x:c>
      <x:c r="I22" s="38" t="str">
        <x:v>정상</x:v>
      </x:c>
      <x:c r="J22" s="75" t="str">
        <x:v>영구</x:v>
      </x:c>
    </x:row>
    <x:row r="23" ht="15" hidden="0" customHeight="1">
      <x:c r="A23" s="75" t="str">
        <x:v>MEASUREMENT</x:v>
      </x:c>
      <x:c r="B23" s="75" t="str">
        <x:v>$.measurements[]</x:v>
      </x:c>
      <x:c r="C23" s="75" t="str">
        <x:v>fasting_glucose_status</x:v>
      </x:c>
      <x:c r="D23" s="75" t="str">
        <x:v>enum</x:v>
      </x:c>
      <x:c r="E23" s="75" t="str">
        <x:v>파생</x:v>
      </x:c>
      <x:c r="F23" s="75" t="str">
        <x:v>Y</x:v>
      </x:c>
      <x:c r="G23" s="38" t="str">
        <x:v>혈당 표시 상태</x:v>
      </x:c>
      <x:c r="H23" s="38" t="str">
        <x:v>green/orange/red/neutral</x:v>
      </x:c>
      <x:c r="I23" s="38" t="str">
        <x:v>green</x:v>
      </x:c>
      <x:c r="J23" s="75" t="str">
        <x:v>영구</x:v>
      </x:c>
    </x:row>
    <x:row r="24" ht="15" hidden="0" customHeight="1">
      <x:c r="A24" s="75" t="str">
        <x:v>MEASUREMENT</x:v>
      </x:c>
      <x:c r="B24" s="75" t="str">
        <x:v>$.measurements[]</x:v>
      </x:c>
      <x:c r="C24" s="75" t="str">
        <x:v>overall_category</x:v>
      </x:c>
      <x:c r="D24" s="75" t="str">
        <x:v>string</x:v>
      </x:c>
      <x:c r="E24" s="75" t="str">
        <x:v>파생</x:v>
      </x:c>
      <x:c r="F24" s="75" t="str">
        <x:v>Y</x:v>
      </x:c>
      <x:c r="G24" s="38" t="str">
        <x:v>종합 판정</x:v>
      </x:c>
      <x:c r="H24" s="38" t="str">
        <x:v>정상/관찰/주의/위험/해당 없음</x:v>
      </x:c>
      <x:c r="I24" s="38" t="str">
        <x:v>정상</x:v>
      </x:c>
      <x:c r="J24" s="75" t="str">
        <x:v>영구</x:v>
      </x:c>
    </x:row>
    <x:row r="25" ht="15" hidden="0" customHeight="1">
      <x:c r="A25" s="75" t="str">
        <x:v>MEASUREMENT</x:v>
      </x:c>
      <x:c r="B25" s="75" t="str">
        <x:v>$.measurements[]</x:v>
      </x:c>
      <x:c r="C25" s="75" t="str">
        <x:v>overall_status</x:v>
      </x:c>
      <x:c r="D25" s="75" t="str">
        <x:v>enum</x:v>
      </x:c>
      <x:c r="E25" s="75" t="str">
        <x:v>파생</x:v>
      </x:c>
      <x:c r="F25" s="75" t="str">
        <x:v>Y</x:v>
      </x:c>
      <x:c r="G25" s="38" t="str">
        <x:v>종합 상태</x:v>
      </x:c>
      <x:c r="H25" s="38" t="str">
        <x:v>green/yellow/orange/red/neutral</x:v>
      </x:c>
      <x:c r="I25" s="38" t="str">
        <x:v>green</x:v>
      </x:c>
      <x:c r="J25" s="75" t="str">
        <x:v>영구</x:v>
      </x:c>
    </x:row>
    <x:row r="26" ht="15" hidden="0" customHeight="1">
      <x:c r="A26" s="75" t="str">
        <x:v>MEASUREMENT</x:v>
      </x:c>
      <x:c r="B26" s="75" t="str">
        <x:v>$.measurements[]</x:v>
      </x:c>
      <x:c r="C26" s="75" t="str">
        <x:v>warning_message</x:v>
      </x:c>
      <x:c r="D26" s="75" t="str">
        <x:v>string/null</x:v>
      </x:c>
      <x:c r="E26" s="75" t="str">
        <x:v>파생</x:v>
      </x:c>
      <x:c r="F26" s="75" t="str">
        <x:v>N</x:v>
      </x:c>
      <x:c r="G26" s="38" t="str">
        <x:v>위험 항목 경고 문장</x:v>
      </x:c>
      <x:c r="H26" s="38" t="str">
        <x:v>여러 경고는 줄바꿈 연결</x:v>
      </x:c>
      <x:c r="I26" s="38" t="str">
        <x:v>혈압이 고혈압 범위입니다.</x:v>
      </x:c>
      <x:c r="J26" s="75" t="str">
        <x:v>영구</x:v>
      </x:c>
    </x:row>
    <x:row r="27" ht="15" hidden="0" customHeight="1">
      <x:c r="A27" s="75" t="str">
        <x:v>MEASUREMENT</x:v>
      </x:c>
      <x:c r="B27" s="75" t="str">
        <x:v>$.measurements[]</x:v>
      </x:c>
      <x:c r="C27" s="75" t="str">
        <x:v>memo</x:v>
      </x:c>
      <x:c r="D27" s="75" t="str">
        <x:v>string/null</x:v>
      </x:c>
      <x:c r="E27" s="75" t="str">
        <x:v>-</x:v>
      </x:c>
      <x:c r="F27" s="75" t="str">
        <x:v>N</x:v>
      </x:c>
      <x:c r="G27" s="38" t="str">
        <x:v>사용자 메모</x:v>
      </x:c>
      <x:c r="H27" s="38" t="str">
        <x:v>문자열</x:v>
      </x:c>
      <x:c r="I27" s="38" t="str">
        <x:v>아침 측정</x:v>
      </x:c>
      <x:c r="J27" s="75" t="str">
        <x:v>영구</x:v>
      </x:c>
    </x:row>
    <x:row r="28" ht="15" hidden="0" customHeight="1">
      <x:c r="A28" s="75" t="str">
        <x:v>SESSION</x:v>
      </x:c>
      <x:c r="B28" s="75" t="str">
        <x:v>메모리</x:v>
      </x:c>
      <x:c r="C28" s="75" t="str">
        <x:v>token</x:v>
      </x:c>
      <x:c r="D28" s="75" t="str">
        <x:v>string</x:v>
      </x:c>
      <x:c r="E28" s="75" t="str">
        <x:v>PK</x:v>
      </x:c>
      <x:c r="F28" s="75" t="str">
        <x:v>Y</x:v>
      </x:c>
      <x:c r="G28" s="38" t="str">
        <x:v>Bearer 토큰</x:v>
      </x:c>
      <x:c r="H28" s="38" t="str">
        <x:v>URL-safe random</x:v>
      </x:c>
      <x:c r="I28" s="38" t="str">
        <x:v>...</x:v>
      </x:c>
      <x:c r="J28" s="75" t="str">
        <x:v>일시</x:v>
      </x:c>
    </x:row>
    <x:row r="29" ht="15" hidden="0" customHeight="1">
      <x:c r="A29" s="75" t="str">
        <x:v>SESSION</x:v>
      </x:c>
      <x:c r="B29" s="75" t="str">
        <x:v>메모리</x:v>
      </x:c>
      <x:c r="C29" s="75" t="str">
        <x:v>role</x:v>
      </x:c>
      <x:c r="D29" s="75" t="str">
        <x:v>enum</x:v>
      </x:c>
      <x:c r="E29" s="75" t="str">
        <x:v>-</x:v>
      </x:c>
      <x:c r="F29" s="75" t="str">
        <x:v>Y</x:v>
      </x:c>
      <x:c r="G29" s="38" t="str">
        <x:v>세션 역할</x:v>
      </x:c>
      <x:c r="H29" s="38" t="str">
        <x:v>user/admin</x:v>
      </x:c>
      <x:c r="I29" s="38" t="str">
        <x:v>user</x:v>
      </x:c>
      <x:c r="J29" s="75" t="str">
        <x:v>일시</x:v>
      </x:c>
    </x:row>
    <x:row r="30" ht="15" hidden="0" customHeight="1">
      <x:c r="A30" s="75" t="str">
        <x:v>SESSION</x:v>
      </x:c>
      <x:c r="B30" s="75" t="str">
        <x:v>메모리</x:v>
      </x:c>
      <x:c r="C30" s="75" t="str">
        <x:v>account_id</x:v>
      </x:c>
      <x:c r="D30" s="75" t="str">
        <x:v>string</x:v>
      </x:c>
      <x:c r="E30" s="75" t="str">
        <x:v>논리 참조</x:v>
      </x:c>
      <x:c r="F30" s="75" t="str">
        <x:v>Y</x:v>
      </x:c>
      <x:c r="G30" s="38" t="str">
        <x:v>로그인 계정 ID</x:v>
      </x:c>
      <x:c r="H30" s="38" t="str">
        <x:v>사용자 또는 관리자 ID</x:v>
      </x:c>
      <x:c r="I30" s="38" t="str">
        <x:v>user01</x:v>
      </x:c>
      <x:c r="J30" s="75" t="str">
        <x:v>일시</x:v>
      </x:c>
    </x:row>
    <x:row r="31" ht="15" hidden="0" customHeight="1">
      <x:c r="A31" s="75" t="str">
        <x:v>SESSION</x:v>
      </x:c>
      <x:c r="B31" s="75" t="str">
        <x:v>메모리</x:v>
      </x:c>
      <x:c r="C31" s="75" t="str">
        <x:v>expires_at</x:v>
      </x:c>
      <x:c r="D31" s="75" t="str">
        <x:v>datetime string</x:v>
      </x:c>
      <x:c r="E31" s="75" t="str">
        <x:v>-</x:v>
      </x:c>
      <x:c r="F31" s="75" t="str">
        <x:v>Y</x:v>
      </x:c>
      <x:c r="G31" s="38" t="str">
        <x:v>세션 만료 시각</x:v>
      </x:c>
      <x:c r="H31" s="38" t="str">
        <x:v>기본 12시간</x:v>
      </x:c>
      <x:c r="I31" s="38" t="n">
        <x:v>46227.5</x:v>
      </x:c>
      <x:c r="J31" s="75" t="str">
        <x:v>일시</x:v>
      </x:c>
    </x:row>
    <x:row r="32" ht="15" hidden="0" customHeight="1">
      <x:c r="A32" s="75" t="str">
        <x:v>ADMIN_CONFIG</x:v>
      </x:c>
      <x:c r="B32" s="75" t="str">
        <x:v>환경변수</x:v>
      </x:c>
      <x:c r="C32" s="75" t="str">
        <x:v>admin_id</x:v>
      </x:c>
      <x:c r="D32" s="75" t="str">
        <x:v>string</x:v>
      </x:c>
      <x:c r="E32" s="75" t="str">
        <x:v>설정</x:v>
      </x:c>
      <x:c r="F32" s="75" t="str">
        <x:v>Y</x:v>
      </x:c>
      <x:c r="G32" s="38" t="str">
        <x:v>관리자 계정 ID</x:v>
      </x:c>
      <x:c r="H32" s="38" t="str">
        <x:v>기본 admin</x:v>
      </x:c>
      <x:c r="I32" s="38" t="str">
        <x:v>admin</x:v>
      </x:c>
      <x:c r="J32" s="75" t="str">
        <x:v>설정</x:v>
      </x:c>
    </x:row>
    <x:row r="33" ht="15" hidden="0" customHeight="1">
      <x:c r="A33" s="75" t="str">
        <x:v>ADMIN_CONFIG</x:v>
      </x:c>
      <x:c r="B33" s="75" t="str">
        <x:v>환경변수</x:v>
      </x:c>
      <x:c r="C33" s="75" t="str">
        <x:v>admin_password</x:v>
      </x:c>
      <x:c r="D33" s="75" t="str">
        <x:v>string</x:v>
      </x:c>
      <x:c r="E33" s="75" t="str">
        <x:v>설정</x:v>
      </x:c>
      <x:c r="F33" s="75" t="str">
        <x:v>Y</x:v>
      </x:c>
      <x:c r="G33" s="38" t="str">
        <x:v>관리자 비밀번호</x:v>
      </x:c>
      <x:c r="H33" s="38" t="str">
        <x:v>기본 admin</x:v>
      </x:c>
      <x:c r="I33" s="38" t="str">
        <x:v>admin</x:v>
      </x:c>
      <x:c r="J33" s="75" t="str">
        <x:v>설정</x:v>
      </x:c>
    </x:row>
    <x:row r="34" ht="15" hidden="0" customHeight="1">
      <x:c r="A34" s="82"/>
      <x:c r="B34" s="82"/>
      <x:c r="C34" s="82"/>
      <x:c r="D34" s="82"/>
      <x:c r="E34" s="82"/>
      <x:c r="F34" s="82"/>
      <x:c r="G34" s="82"/>
      <x:c r="H34" s="82"/>
      <x:c r="I34" s="82"/>
      <x:c r="J34" s="82"/>
    </x:row>
    <x:row r="35" ht="15" hidden="0" customHeight="1">
      <x:c r="A35" s="82"/>
      <x:c r="B35" s="82"/>
      <x:c r="C35" s="82"/>
      <x:c r="D35" s="82"/>
      <x:c r="E35" s="82"/>
      <x:c r="F35" s="82"/>
      <x:c r="G35" s="82"/>
      <x:c r="H35" s="82"/>
      <x:c r="I35" s="82"/>
      <x:c r="J35" s="82"/>
    </x:row>
    <x:row r="36" ht="15" hidden="0" customHeight="1">
      <x:c r="A36" s="82"/>
      <x:c r="B36" s="82"/>
      <x:c r="C36" s="82"/>
      <x:c r="D36" s="82"/>
      <x:c r="E36" s="82"/>
      <x:c r="F36" s="82"/>
      <x:c r="G36" s="82"/>
      <x:c r="H36" s="82"/>
      <x:c r="I36" s="82"/>
      <x:c r="J36" s="82"/>
    </x:row>
    <x:row r="37" ht="15" hidden="0" customHeight="1">
      <x:c r="A37" s="82"/>
      <x:c r="B37" s="82"/>
      <x:c r="C37" s="82"/>
      <x:c r="D37" s="82"/>
      <x:c r="E37" s="82"/>
      <x:c r="F37" s="82"/>
      <x:c r="G37" s="82"/>
      <x:c r="H37" s="82"/>
      <x:c r="I37" s="82"/>
      <x:c r="J37" s="82"/>
    </x:row>
    <x:row r="38" ht="15" hidden="0" customHeight="1">
      <x:c r="A38" s="82"/>
      <x:c r="B38" s="82"/>
      <x:c r="C38" s="82"/>
      <x:c r="D38" s="82"/>
      <x:c r="E38" s="82"/>
      <x:c r="F38" s="82"/>
      <x:c r="G38" s="82"/>
      <x:c r="H38" s="82"/>
      <x:c r="I38" s="82"/>
      <x:c r="J38" s="82"/>
    </x:row>
    <x:row r="39" ht="15" hidden="0" customHeight="1">
      <x:c r="A39" s="82"/>
      <x:c r="B39" s="82"/>
      <x:c r="C39" s="82"/>
      <x:c r="D39" s="82"/>
      <x:c r="E39" s="82"/>
      <x:c r="F39" s="82"/>
      <x:c r="G39" s="82"/>
      <x:c r="H39" s="82"/>
      <x:c r="I39" s="82"/>
      <x:c r="J39" s="82"/>
    </x:row>
    <x:row r="40" ht="15" hidden="0" customHeight="1">
      <x:c r="A40" s="82"/>
      <x:c r="B40" s="82"/>
      <x:c r="C40" s="82"/>
      <x:c r="D40" s="82"/>
      <x:c r="E40" s="82"/>
      <x:c r="F40" s="82"/>
      <x:c r="G40" s="82"/>
      <x:c r="H40" s="82"/>
      <x:c r="I40" s="82"/>
      <x:c r="J40" s="82"/>
    </x:row>
    <x:row r="41" ht="15" hidden="0" customHeight="1">
      <x:c r="A41" s="82"/>
      <x:c r="B41" s="82"/>
      <x:c r="C41" s="82"/>
      <x:c r="D41" s="82"/>
      <x:c r="E41" s="82"/>
      <x:c r="F41" s="82"/>
      <x:c r="G41" s="82"/>
      <x:c r="H41" s="82"/>
      <x:c r="I41" s="82"/>
      <x:c r="J41" s="82"/>
    </x:row>
    <x:row r="42" ht="15" hidden="0" customHeight="1">
      <x:c r="A42" s="82"/>
      <x:c r="B42" s="82"/>
      <x:c r="C42" s="82"/>
      <x:c r="D42" s="82"/>
      <x:c r="E42" s="82"/>
      <x:c r="F42" s="82"/>
      <x:c r="G42" s="82"/>
      <x:c r="H42" s="82"/>
      <x:c r="I42" s="82"/>
      <x:c r="J42" s="82"/>
    </x:row>
    <x:row r="43" ht="15" hidden="0" customHeight="1">
      <x:c r="A43" s="82"/>
      <x:c r="B43" s="82"/>
      <x:c r="C43" s="82"/>
      <x:c r="D43" s="82"/>
      <x:c r="E43" s="82"/>
      <x:c r="F43" s="82"/>
      <x:c r="G43" s="82"/>
      <x:c r="H43" s="82"/>
      <x:c r="I43" s="82"/>
      <x:c r="J43" s="82"/>
    </x:row>
    <x:row r="44" ht="15" hidden="0" customHeight="1">
      <x:c r="A44" s="82"/>
      <x:c r="B44" s="82"/>
      <x:c r="C44" s="82"/>
      <x:c r="D44" s="82"/>
      <x:c r="E44" s="82"/>
      <x:c r="F44" s="82"/>
      <x:c r="G44" s="82"/>
      <x:c r="H44" s="82"/>
      <x:c r="I44" s="82"/>
      <x:c r="J44" s="82"/>
    </x:row>
    <x:row r="45" ht="15" hidden="0" customHeight="1">
      <x:c r="A45" s="82"/>
      <x:c r="B45" s="82"/>
      <x:c r="C45" s="82"/>
      <x:c r="D45" s="82"/>
      <x:c r="E45" s="82"/>
      <x:c r="F45" s="82"/>
      <x:c r="G45" s="82"/>
      <x:c r="H45" s="82"/>
      <x:c r="I45" s="82"/>
      <x:c r="J45" s="82"/>
    </x:row>
    <x:row r="46" ht="15" hidden="0" customHeight="1">
      <x:c r="A46" s="82"/>
      <x:c r="B46" s="82"/>
      <x:c r="C46" s="82"/>
      <x:c r="D46" s="82"/>
      <x:c r="E46" s="82"/>
      <x:c r="F46" s="82"/>
      <x:c r="G46" s="82"/>
      <x:c r="H46" s="82"/>
      <x:c r="I46" s="82"/>
      <x:c r="J46" s="82"/>
    </x:row>
    <x:row r="47" ht="15" hidden="0" customHeight="1">
      <x:c r="A47" s="82"/>
      <x:c r="B47" s="82"/>
      <x:c r="C47" s="82"/>
      <x:c r="D47" s="82"/>
      <x:c r="E47" s="82"/>
      <x:c r="F47" s="82"/>
      <x:c r="G47" s="82"/>
      <x:c r="H47" s="82"/>
      <x:c r="I47" s="82"/>
      <x:c r="J47" s="82"/>
    </x:row>
    <x:row r="48" ht="15" hidden="0" customHeight="1">
      <x:c r="A48" s="82"/>
      <x:c r="B48" s="82"/>
      <x:c r="C48" s="82"/>
      <x:c r="D48" s="82"/>
      <x:c r="E48" s="82"/>
      <x:c r="F48" s="82"/>
      <x:c r="G48" s="82"/>
      <x:c r="H48" s="82"/>
      <x:c r="I48" s="82"/>
      <x:c r="J48" s="82"/>
    </x:row>
    <x:row r="49" ht="15" hidden="0" customHeight="1">
      <x:c r="A49" s="82"/>
      <x:c r="B49" s="82"/>
      <x:c r="C49" s="82"/>
      <x:c r="D49" s="82"/>
      <x:c r="E49" s="82"/>
      <x:c r="F49" s="82"/>
      <x:c r="G49" s="82"/>
      <x:c r="H49" s="82"/>
      <x:c r="I49" s="82"/>
      <x:c r="J49" s="82"/>
    </x:row>
    <x:row r="50" ht="15" hidden="0" customHeight="1">
      <x:c r="A50" s="82"/>
      <x:c r="B50" s="82"/>
      <x:c r="C50" s="82"/>
      <x:c r="D50" s="82"/>
      <x:c r="E50" s="82"/>
      <x:c r="F50" s="82"/>
      <x:c r="G50" s="82"/>
      <x:c r="H50" s="82"/>
      <x:c r="I50" s="82"/>
      <x:c r="J50" s="82"/>
    </x:row>
    <x:row r="51" ht="15" hidden="0" customHeight="1">
      <x:c r="A51" s="82"/>
      <x:c r="B51" s="82"/>
      <x:c r="C51" s="82"/>
      <x:c r="D51" s="82"/>
      <x:c r="E51" s="82"/>
      <x:c r="F51" s="82"/>
      <x:c r="G51" s="82"/>
      <x:c r="H51" s="82"/>
      <x:c r="I51" s="82"/>
      <x:c r="J51" s="82"/>
    </x:row>
    <x:row r="52" ht="15" hidden="0" customHeight="1">
      <x:c r="A52" s="82"/>
      <x:c r="B52" s="82"/>
      <x:c r="C52" s="82"/>
      <x:c r="D52" s="82"/>
      <x:c r="E52" s="82"/>
      <x:c r="F52" s="82"/>
      <x:c r="G52" s="82"/>
      <x:c r="H52" s="82"/>
      <x:c r="I52" s="82"/>
      <x:c r="J52" s="82"/>
    </x:row>
    <x:row r="53" ht="15" hidden="0" customHeight="1">
      <x:c r="A53" s="82"/>
      <x:c r="B53" s="82"/>
      <x:c r="C53" s="82"/>
      <x:c r="D53" s="82"/>
      <x:c r="E53" s="82"/>
      <x:c r="F53" s="82"/>
      <x:c r="G53" s="82"/>
      <x:c r="H53" s="82"/>
      <x:c r="I53" s="82"/>
      <x:c r="J53" s="82"/>
    </x:row>
    <x:row r="54" ht="15" hidden="0" customHeight="1">
      <x:c r="A54" s="82"/>
      <x:c r="B54" s="82"/>
      <x:c r="C54" s="82"/>
      <x:c r="D54" s="82"/>
      <x:c r="E54" s="82"/>
      <x:c r="F54" s="82"/>
      <x:c r="G54" s="82"/>
      <x:c r="H54" s="82"/>
      <x:c r="I54" s="82"/>
      <x:c r="J54" s="82"/>
    </x:row>
    <x:row r="55" ht="15" hidden="0" customHeight="1">
      <x:c r="A55" s="82"/>
      <x:c r="B55" s="82"/>
      <x:c r="C55" s="82"/>
      <x:c r="D55" s="82"/>
      <x:c r="E55" s="82"/>
      <x:c r="F55" s="82"/>
      <x:c r="G55" s="82"/>
      <x:c r="H55" s="82"/>
      <x:c r="I55" s="82"/>
      <x:c r="J55" s="82"/>
    </x:row>
    <x:row r="56" ht="15" hidden="0" customHeight="1">
      <x:c r="A56" s="82"/>
      <x:c r="B56" s="82"/>
      <x:c r="C56" s="82"/>
      <x:c r="D56" s="82"/>
      <x:c r="E56" s="82"/>
      <x:c r="F56" s="82"/>
      <x:c r="G56" s="82"/>
      <x:c r="H56" s="82"/>
      <x:c r="I56" s="82"/>
      <x:c r="J56" s="82"/>
    </x:row>
    <x:row r="57" ht="15" hidden="0" customHeight="1">
      <x:c r="A57" s="82"/>
      <x:c r="B57" s="82"/>
      <x:c r="C57" s="82"/>
      <x:c r="D57" s="82"/>
      <x:c r="E57" s="82"/>
      <x:c r="F57" s="82"/>
      <x:c r="G57" s="82"/>
      <x:c r="H57" s="82"/>
      <x:c r="I57" s="82"/>
      <x:c r="J57" s="82"/>
    </x:row>
    <x:row r="58" ht="15" hidden="0" customHeight="1">
      <x:c r="A58" s="82"/>
      <x:c r="B58" s="82"/>
      <x:c r="C58" s="82"/>
      <x:c r="D58" s="82"/>
      <x:c r="E58" s="82"/>
      <x:c r="F58" s="82"/>
      <x:c r="G58" s="82"/>
      <x:c r="H58" s="82"/>
      <x:c r="I58" s="82"/>
      <x:c r="J58" s="82"/>
    </x:row>
    <x:row r="59" ht="15" hidden="0" customHeight="1">
      <x:c r="A59" s="82"/>
      <x:c r="B59" s="82"/>
      <x:c r="C59" s="82"/>
      <x:c r="D59" s="82"/>
      <x:c r="E59" s="82"/>
      <x:c r="F59" s="82"/>
      <x:c r="G59" s="82"/>
      <x:c r="H59" s="82"/>
      <x:c r="I59" s="82"/>
      <x:c r="J59" s="82"/>
    </x:row>
    <x:row r="60" ht="15" hidden="0" customHeight="1">
      <x:c r="A60" s="82"/>
      <x:c r="B60" s="82"/>
      <x:c r="C60" s="82"/>
      <x:c r="D60" s="82"/>
      <x:c r="E60" s="82"/>
      <x:c r="F60" s="82"/>
      <x:c r="G60" s="82"/>
      <x:c r="H60" s="82"/>
      <x:c r="I60" s="82"/>
      <x:c r="J60" s="82"/>
    </x:row>
    <x:row r="61" ht="15" hidden="0" customHeight="1">
      <x:c r="A61" s="82"/>
      <x:c r="B61" s="82"/>
      <x:c r="C61" s="82"/>
      <x:c r="D61" s="82"/>
      <x:c r="E61" s="82"/>
      <x:c r="F61" s="82"/>
      <x:c r="G61" s="82"/>
      <x:c r="H61" s="82"/>
      <x:c r="I61" s="82"/>
      <x:c r="J61" s="82"/>
    </x:row>
    <x:row r="62" ht="15" hidden="0" customHeight="1">
      <x:c r="A62" s="82"/>
      <x:c r="B62" s="82"/>
      <x:c r="C62" s="82"/>
      <x:c r="D62" s="82"/>
      <x:c r="E62" s="82"/>
      <x:c r="F62" s="82"/>
      <x:c r="G62" s="82"/>
      <x:c r="H62" s="82"/>
      <x:c r="I62" s="82"/>
      <x:c r="J62" s="82"/>
    </x:row>
    <x:row r="63" ht="15" hidden="0" customHeight="1">
      <x:c r="A63" s="82"/>
      <x:c r="B63" s="82"/>
      <x:c r="C63" s="82"/>
      <x:c r="D63" s="82"/>
      <x:c r="E63" s="82"/>
      <x:c r="F63" s="82"/>
      <x:c r="G63" s="82"/>
      <x:c r="H63" s="82"/>
      <x:c r="I63" s="82"/>
      <x:c r="J63" s="82"/>
    </x:row>
    <x:row r="64" ht="15" hidden="0" customHeight="1">
      <x:c r="A64" s="82"/>
      <x:c r="B64" s="82"/>
      <x:c r="C64" s="82"/>
      <x:c r="D64" s="82"/>
      <x:c r="E64" s="82"/>
      <x:c r="F64" s="82"/>
      <x:c r="G64" s="82"/>
      <x:c r="H64" s="82"/>
      <x:c r="I64" s="82"/>
      <x:c r="J64" s="82"/>
    </x:row>
    <x:row r="65" ht="15" hidden="0" customHeight="1">
      <x:c r="A65" s="82"/>
      <x:c r="B65" s="82"/>
      <x:c r="C65" s="82"/>
      <x:c r="D65" s="82"/>
      <x:c r="E65" s="82"/>
      <x:c r="F65" s="82"/>
      <x:c r="G65" s="82"/>
      <x:c r="H65" s="82"/>
      <x:c r="I65" s="82"/>
      <x:c r="J65" s="82"/>
    </x:row>
    <x:row r="66" ht="15" hidden="0" customHeight="1">
      <x:c r="A66" s="82"/>
      <x:c r="B66" s="82"/>
      <x:c r="C66" s="82"/>
      <x:c r="D66" s="82"/>
      <x:c r="E66" s="82"/>
      <x:c r="F66" s="82"/>
      <x:c r="G66" s="82"/>
      <x:c r="H66" s="82"/>
      <x:c r="I66" s="82"/>
      <x:c r="J66" s="82"/>
    </x:row>
    <x:row r="67" ht="15" hidden="0" customHeight="1">
      <x:c r="A67" s="82"/>
      <x:c r="B67" s="82"/>
      <x:c r="C67" s="82"/>
      <x:c r="D67" s="82"/>
      <x:c r="E67" s="82"/>
      <x:c r="F67" s="82"/>
      <x:c r="G67" s="82"/>
      <x:c r="H67" s="82"/>
      <x:c r="I67" s="82"/>
      <x:c r="J67" s="82"/>
    </x:row>
    <x:row r="68" ht="15" hidden="0" customHeight="1">
      <x:c r="A68" s="82"/>
      <x:c r="B68" s="82"/>
      <x:c r="C68" s="82"/>
      <x:c r="D68" s="82"/>
      <x:c r="E68" s="82"/>
      <x:c r="F68" s="82"/>
      <x:c r="G68" s="82"/>
      <x:c r="H68" s="82"/>
      <x:c r="I68" s="82"/>
      <x:c r="J68" s="82"/>
    </x:row>
    <x:row r="69" ht="15" hidden="0" customHeight="1">
      <x:c r="A69" s="82"/>
      <x:c r="B69" s="82"/>
      <x:c r="C69" s="82"/>
      <x:c r="D69" s="82"/>
      <x:c r="E69" s="82"/>
      <x:c r="F69" s="82"/>
      <x:c r="G69" s="82"/>
      <x:c r="H69" s="82"/>
      <x:c r="I69" s="82"/>
      <x:c r="J69" s="82"/>
    </x:row>
    <x:row r="70" ht="15" hidden="0" customHeight="1">
      <x:c r="A70" s="82"/>
      <x:c r="B70" s="82"/>
      <x:c r="C70" s="82"/>
      <x:c r="D70" s="82"/>
      <x:c r="E70" s="82"/>
      <x:c r="F70" s="82"/>
      <x:c r="G70" s="82"/>
      <x:c r="H70" s="82"/>
      <x:c r="I70" s="82"/>
      <x:c r="J70" s="82"/>
    </x:row>
    <x:row r="71" ht="15" hidden="0" customHeight="1">
      <x:c r="A71" s="82"/>
      <x:c r="B71" s="82"/>
      <x:c r="C71" s="82"/>
      <x:c r="D71" s="82"/>
      <x:c r="E71" s="82"/>
      <x:c r="F71" s="82"/>
      <x:c r="G71" s="82"/>
      <x:c r="H71" s="82"/>
      <x:c r="I71" s="82"/>
      <x:c r="J71" s="82"/>
    </x:row>
    <x:row r="72" ht="15" hidden="0" customHeight="1">
      <x:c r="A72" s="82"/>
      <x:c r="B72" s="82"/>
      <x:c r="C72" s="82"/>
      <x:c r="D72" s="82"/>
      <x:c r="E72" s="82"/>
      <x:c r="F72" s="82"/>
      <x:c r="G72" s="82"/>
      <x:c r="H72" s="82"/>
      <x:c r="I72" s="82"/>
      <x:c r="J72" s="82"/>
    </x:row>
    <x:row r="73" ht="15" hidden="0" customHeight="1">
      <x:c r="A73" s="82"/>
      <x:c r="B73" s="82"/>
      <x:c r="C73" s="82"/>
      <x:c r="D73" s="82"/>
      <x:c r="E73" s="82"/>
      <x:c r="F73" s="82"/>
      <x:c r="G73" s="82"/>
      <x:c r="H73" s="82"/>
      <x:c r="I73" s="82"/>
      <x:c r="J73" s="82"/>
    </x:row>
    <x:row r="74" ht="15" hidden="0" customHeight="1">
      <x:c r="A74" s="82"/>
      <x:c r="B74" s="82"/>
      <x:c r="C74" s="82"/>
      <x:c r="D74" s="82"/>
      <x:c r="E74" s="82"/>
      <x:c r="F74" s="82"/>
      <x:c r="G74" s="82"/>
      <x:c r="H74" s="82"/>
      <x:c r="I74" s="82"/>
      <x:c r="J74" s="82"/>
    </x:row>
    <x:row r="75" ht="15" hidden="0" customHeight="1">
      <x:c r="A75" s="82"/>
      <x:c r="B75" s="82"/>
      <x:c r="C75" s="82"/>
      <x:c r="D75" s="82"/>
      <x:c r="E75" s="82"/>
      <x:c r="F75" s="82"/>
      <x:c r="G75" s="82"/>
      <x:c r="H75" s="82"/>
      <x:c r="I75" s="82"/>
      <x:c r="J75" s="82"/>
    </x:row>
    <x:row r="76" ht="15" hidden="0" customHeight="1">
      <x:c r="A76" s="82"/>
      <x:c r="B76" s="82"/>
      <x:c r="C76" s="82"/>
      <x:c r="D76" s="82"/>
      <x:c r="E76" s="82"/>
      <x:c r="F76" s="82"/>
      <x:c r="G76" s="82"/>
      <x:c r="H76" s="82"/>
      <x:c r="I76" s="82"/>
      <x:c r="J76" s="82"/>
    </x:row>
    <x:row r="77" ht="15" hidden="0" customHeight="1">
      <x:c r="A77" s="82"/>
      <x:c r="B77" s="82"/>
      <x:c r="C77" s="82"/>
      <x:c r="D77" s="82"/>
      <x:c r="E77" s="82"/>
      <x:c r="F77" s="82"/>
      <x:c r="G77" s="82"/>
      <x:c r="H77" s="82"/>
      <x:c r="I77" s="82"/>
      <x:c r="J77" s="82"/>
    </x:row>
    <x:row r="78" ht="15" hidden="0" customHeight="1">
      <x:c r="A78" s="82"/>
      <x:c r="B78" s="82"/>
      <x:c r="C78" s="82"/>
      <x:c r="D78" s="82"/>
      <x:c r="E78" s="82"/>
      <x:c r="F78" s="82"/>
      <x:c r="G78" s="82"/>
      <x:c r="H78" s="82"/>
      <x:c r="I78" s="82"/>
      <x:c r="J78" s="82"/>
    </x:row>
    <x:row r="79" ht="15" hidden="0" customHeight="1">
      <x:c r="A79" s="82"/>
      <x:c r="B79" s="82"/>
      <x:c r="C79" s="82"/>
      <x:c r="D79" s="82"/>
      <x:c r="E79" s="82"/>
      <x:c r="F79" s="82"/>
      <x:c r="G79" s="82"/>
      <x:c r="H79" s="82"/>
      <x:c r="I79" s="82"/>
      <x:c r="J79" s="82"/>
    </x:row>
    <x:row r="80" ht="15" hidden="0" customHeight="1">
      <x:c r="A80" s="82"/>
      <x:c r="B80" s="82"/>
      <x:c r="C80" s="82"/>
      <x:c r="D80" s="82"/>
      <x:c r="E80" s="82"/>
      <x:c r="F80" s="82"/>
      <x:c r="G80" s="82"/>
      <x:c r="H80" s="82"/>
      <x:c r="I80" s="82"/>
      <x:c r="J80" s="82"/>
    </x:row>
    <x:row r="81" ht="15" hidden="0" customHeight="1">
      <x:c r="A81" s="82"/>
      <x:c r="B81" s="82"/>
      <x:c r="C81" s="82"/>
      <x:c r="D81" s="82"/>
      <x:c r="E81" s="82"/>
      <x:c r="F81" s="82"/>
      <x:c r="G81" s="82"/>
      <x:c r="H81" s="82"/>
      <x:c r="I81" s="82"/>
      <x:c r="J81" s="82"/>
    </x:row>
    <x:row r="82" ht="15" hidden="0" customHeight="1">
      <x:c r="A82" s="82"/>
      <x:c r="B82" s="82"/>
      <x:c r="C82" s="82"/>
      <x:c r="D82" s="82"/>
      <x:c r="E82" s="82"/>
      <x:c r="F82" s="82"/>
      <x:c r="G82" s="82"/>
      <x:c r="H82" s="82"/>
      <x:c r="I82" s="82"/>
      <x:c r="J82" s="82"/>
    </x:row>
    <x:row r="83" ht="15" hidden="0" customHeight="1">
      <x:c r="A83" s="82"/>
      <x:c r="B83" s="82"/>
      <x:c r="C83" s="82"/>
      <x:c r="D83" s="82"/>
      <x:c r="E83" s="82"/>
      <x:c r="F83" s="82"/>
      <x:c r="G83" s="82"/>
      <x:c r="H83" s="82"/>
      <x:c r="I83" s="82"/>
      <x:c r="J83" s="82"/>
    </x:row>
    <x:row r="84" ht="15" hidden="0" customHeight="1">
      <x:c r="A84" s="82"/>
      <x:c r="B84" s="82"/>
      <x:c r="C84" s="82"/>
      <x:c r="D84" s="82"/>
      <x:c r="E84" s="82"/>
      <x:c r="F84" s="82"/>
      <x:c r="G84" s="82"/>
      <x:c r="H84" s="82"/>
      <x:c r="I84" s="82"/>
      <x:c r="J84" s="82"/>
    </x:row>
    <x:row r="85" ht="15" hidden="0" customHeight="1">
      <x:c r="A85" s="82"/>
      <x:c r="B85" s="82"/>
      <x:c r="C85" s="82"/>
      <x:c r="D85" s="82"/>
      <x:c r="E85" s="82"/>
      <x:c r="F85" s="82"/>
      <x:c r="G85" s="82"/>
      <x:c r="H85" s="82"/>
      <x:c r="I85" s="82"/>
      <x:c r="J85" s="82"/>
    </x:row>
    <x:row r="86" ht="15" hidden="0" customHeight="1">
      <x:c r="A86" s="82"/>
      <x:c r="B86" s="82"/>
      <x:c r="C86" s="82"/>
      <x:c r="D86" s="82"/>
      <x:c r="E86" s="82"/>
      <x:c r="F86" s="82"/>
      <x:c r="G86" s="82"/>
      <x:c r="H86" s="82"/>
      <x:c r="I86" s="82"/>
      <x:c r="J86" s="82"/>
    </x:row>
    <x:row r="87" ht="15" hidden="0" customHeight="1">
      <x:c r="A87" s="82"/>
      <x:c r="B87" s="82"/>
      <x:c r="C87" s="82"/>
      <x:c r="D87" s="82"/>
      <x:c r="E87" s="82"/>
      <x:c r="F87" s="82"/>
      <x:c r="G87" s="82"/>
      <x:c r="H87" s="82"/>
      <x:c r="I87" s="82"/>
      <x:c r="J87" s="82"/>
    </x:row>
    <x:row r="88" ht="15" hidden="0" customHeight="1">
      <x:c r="A88" s="82"/>
      <x:c r="B88" s="82"/>
      <x:c r="C88" s="82"/>
      <x:c r="D88" s="82"/>
      <x:c r="E88" s="82"/>
      <x:c r="F88" s="82"/>
      <x:c r="G88" s="82"/>
      <x:c r="H88" s="82"/>
      <x:c r="I88" s="82"/>
      <x:c r="J88" s="82"/>
    </x:row>
    <x:row r="89" ht="15" hidden="0" customHeight="1">
      <x:c r="A89" s="82"/>
      <x:c r="B89" s="82"/>
      <x:c r="C89" s="82"/>
      <x:c r="D89" s="82"/>
      <x:c r="E89" s="82"/>
      <x:c r="F89" s="82"/>
      <x:c r="G89" s="82"/>
      <x:c r="H89" s="82"/>
      <x:c r="I89" s="82"/>
      <x:c r="J89" s="82"/>
    </x:row>
    <x:row r="90" ht="15" hidden="0" customHeight="1">
      <x:c r="A90" s="82"/>
      <x:c r="B90" s="82"/>
      <x:c r="C90" s="82"/>
      <x:c r="D90" s="82"/>
      <x:c r="E90" s="82"/>
      <x:c r="F90" s="82"/>
      <x:c r="G90" s="82"/>
      <x:c r="H90" s="82"/>
      <x:c r="I90" s="82"/>
      <x:c r="J90" s="82"/>
    </x:row>
    <x:row r="91" ht="15" hidden="0" customHeight="1">
      <x:c r="A91" s="82"/>
      <x:c r="B91" s="82"/>
      <x:c r="C91" s="82"/>
      <x:c r="D91" s="82"/>
      <x:c r="E91" s="82"/>
      <x:c r="F91" s="82"/>
      <x:c r="G91" s="82"/>
      <x:c r="H91" s="82"/>
      <x:c r="I91" s="82"/>
      <x:c r="J91" s="82"/>
    </x:row>
    <x:row r="92" ht="15" hidden="0" customHeight="1">
      <x:c r="A92" s="82"/>
      <x:c r="B92" s="82"/>
      <x:c r="C92" s="82"/>
      <x:c r="D92" s="82"/>
      <x:c r="E92" s="82"/>
      <x:c r="F92" s="82"/>
      <x:c r="G92" s="82"/>
      <x:c r="H92" s="82"/>
      <x:c r="I92" s="82"/>
      <x:c r="J92" s="82"/>
    </x:row>
    <x:row r="93" ht="15" hidden="0" customHeight="1">
      <x:c r="A93" s="82"/>
      <x:c r="B93" s="82"/>
      <x:c r="C93" s="82"/>
      <x:c r="D93" s="82"/>
      <x:c r="E93" s="82"/>
      <x:c r="F93" s="82"/>
      <x:c r="G93" s="82"/>
      <x:c r="H93" s="82"/>
      <x:c r="I93" s="82"/>
      <x:c r="J93" s="82"/>
    </x:row>
    <x:row r="94" ht="15" hidden="0" customHeight="1">
      <x:c r="A94" s="82"/>
      <x:c r="B94" s="82"/>
      <x:c r="C94" s="82"/>
      <x:c r="D94" s="82"/>
      <x:c r="E94" s="82"/>
      <x:c r="F94" s="82"/>
      <x:c r="G94" s="82"/>
      <x:c r="H94" s="82"/>
      <x:c r="I94" s="82"/>
      <x:c r="J94" s="82"/>
    </x:row>
    <x:row r="95" ht="15" hidden="0" customHeight="1">
      <x:c r="A95" s="82"/>
      <x:c r="B95" s="82"/>
      <x:c r="C95" s="82"/>
      <x:c r="D95" s="82"/>
      <x:c r="E95" s="82"/>
      <x:c r="F95" s="82"/>
      <x:c r="G95" s="82"/>
      <x:c r="H95" s="82"/>
      <x:c r="I95" s="82"/>
      <x:c r="J95" s="82"/>
    </x:row>
    <x:row r="96" ht="15" hidden="0" customHeight="1">
      <x:c r="A96" s="82"/>
      <x:c r="B96" s="82"/>
      <x:c r="C96" s="82"/>
      <x:c r="D96" s="82"/>
      <x:c r="E96" s="82"/>
      <x:c r="F96" s="82"/>
      <x:c r="G96" s="82"/>
      <x:c r="H96" s="82"/>
      <x:c r="I96" s="82"/>
      <x:c r="J96" s="82"/>
    </x:row>
    <x:row r="97" ht="15" hidden="0" customHeight="1">
      <x:c r="A97" s="82"/>
      <x:c r="B97" s="82"/>
      <x:c r="C97" s="82"/>
      <x:c r="D97" s="82"/>
      <x:c r="E97" s="82"/>
      <x:c r="F97" s="82"/>
      <x:c r="G97" s="82"/>
      <x:c r="H97" s="82"/>
      <x:c r="I97" s="82"/>
      <x:c r="J97" s="82"/>
    </x:row>
    <x:row r="98" ht="15" hidden="0" customHeight="1">
      <x:c r="A98" s="82"/>
      <x:c r="B98" s="82"/>
      <x:c r="C98" s="82"/>
      <x:c r="D98" s="82"/>
      <x:c r="E98" s="82"/>
      <x:c r="F98" s="82"/>
      <x:c r="G98" s="82"/>
      <x:c r="H98" s="82"/>
      <x:c r="I98" s="82"/>
      <x:c r="J98" s="82"/>
    </x:row>
    <x:row r="99" ht="15" hidden="0" customHeight="1">
      <x:c r="A99" s="82"/>
      <x:c r="B99" s="82"/>
      <x:c r="C99" s="82"/>
      <x:c r="D99" s="82"/>
      <x:c r="E99" s="82"/>
      <x:c r="F99" s="82"/>
      <x:c r="G99" s="82"/>
      <x:c r="H99" s="82"/>
      <x:c r="I99" s="82"/>
      <x:c r="J99" s="82"/>
    </x:row>
    <x:row r="100" ht="15" hidden="0" customHeight="1">
      <x:c r="A100" s="82"/>
      <x:c r="B100" s="82"/>
      <x:c r="C100" s="82"/>
      <x:c r="D100" s="82"/>
      <x:c r="E100" s="82"/>
      <x:c r="F100" s="82"/>
      <x:c r="G100" s="82"/>
      <x:c r="H100" s="82"/>
      <x:c r="I100" s="82"/>
      <x:c r="J100" s="82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ae0740f49f640e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6" hidden="0" customWidth="1"/>
    <x:col min="4" max="4" width="34" hidden="0" customWidth="1"/>
    <x:col min="5" max="5" width="40" hidden="0" customWidth="1"/>
    <x:col min="6" max="6" width="32" hidden="0" customWidth="1"/>
    <x:col min="7" max="7" width="14" hidden="0" customWidth="1"/>
    <x:col min="8" max="8" width="28" hidden="0" customWidth="1"/>
  </x:cols>
  <x:sheetData>
    <x:row r="1" ht="129.60000610351562" hidden="0" customHeight="1">
      <x:c r="A1" s="80" t="str">
        <x:v>비기능 요구사항 및 완료 체크리스트</x:v>
      </x:c>
      <x:c r="B1" s="80"/>
      <x:c r="C1" s="80"/>
      <x:c r="D1" s="80"/>
      <x:c r="E1" s="80"/>
      <x:c r="F1" s="80"/>
      <x:c r="G1" s="80"/>
      <x:c r="H1" s="80"/>
      <x:c r="I1" s="82"/>
      <x:c r="J1" s="82"/>
    </x:row>
    <x:row r="2" ht="15" hidden="0" customHeight="1">
      <x:c r="A2" s="68" t="str">
        <x:v>NFR ID</x:v>
      </x:c>
      <x:c r="B2" s="68" t="str">
        <x:v>분류</x:v>
      </x:c>
      <x:c r="C2" s="68" t="str">
        <x:v>요구사항</x:v>
      </x:c>
      <x:c r="D2" s="68" t="str">
        <x:v>목표/기준</x:v>
      </x:c>
      <x:c r="E2" s="68" t="str">
        <x:v>구현 방식</x:v>
      </x:c>
      <x:c r="F2" s="68" t="str">
        <x:v>검증 방법</x:v>
      </x:c>
      <x:c r="G2" s="68" t="str">
        <x:v>상태</x:v>
      </x:c>
      <x:c r="H2" s="68" t="str">
        <x:v>비고</x:v>
      </x:c>
      <x:c r="I2" s="82"/>
      <x:c r="J2" s="82"/>
    </x:row>
    <x:row r="3" ht="15" hidden="0" customHeight="1">
      <x:c r="A3" s="75" t="str">
        <x:v>NFR-001</x:v>
      </x:c>
      <x:c r="B3" s="75" t="str">
        <x:v>보안</x:v>
      </x:c>
      <x:c r="C3" s="38" t="str">
        <x:v>비밀번호 평문 저장 금지</x:v>
      </x:c>
      <x:c r="D3" s="38" t="str">
        <x:v>PBKDF2 SHA-256 해시</x:v>
      </x:c>
      <x:c r="E3" s="38" t="str">
        <x:v>salt:hash 형식 저장</x:v>
      </x:c>
      <x:c r="F3" s="38" t="str">
        <x:v>data.json 확인</x:v>
      </x:c>
      <x:c r="G3" s="75" t="str">
        <x:v>구현 완료</x:v>
      </x:c>
      <x:c r="H3" s="38" t="str">
        <x:v>관리자 기본 비밀번호는 과제용</x:v>
      </x:c>
      <x:c r="I3" s="82"/>
      <x:c r="J3" s="82"/>
    </x:row>
    <x:row r="4" ht="15" hidden="0" customHeight="1">
      <x:c r="A4" s="75" t="str">
        <x:v>NFR-002</x:v>
      </x:c>
      <x:c r="B4" s="75" t="str">
        <x:v>권한</x:v>
      </x:c>
      <x:c r="C4" s="38" t="str">
        <x:v>역할별 API 접근 제한</x:v>
      </x:c>
      <x:c r="D4" s="38" t="str">
        <x:v>사용자는 본인 데이터, 관리자는 조회/삭제</x:v>
      </x:c>
      <x:c r="E4" s="38" t="str">
        <x:v>Bearer 세션 + require_role</x:v>
      </x:c>
      <x:c r="F4" s="38" t="str">
        <x:v>403 테스트</x:v>
      </x:c>
      <x:c r="G4" s="75" t="str">
        <x:v>구현 완료</x:v>
      </x:c>
      <x:c r="H4" s="38" t="str"/>
      <x:c r="I4" s="82"/>
      <x:c r="J4" s="82"/>
    </x:row>
    <x:row r="5" ht="15" hidden="0" customHeight="1">
      <x:c r="A5" s="75" t="str">
        <x:v>NFR-003</x:v>
      </x:c>
      <x:c r="B5" s="75" t="str">
        <x:v>영속성</x:v>
      </x:c>
      <x:c r="C5" s="38" t="str">
        <x:v>재시작 후 데이터 유지</x:v>
      </x:c>
      <x:c r="D5" s="38" t="str">
        <x:v>사용자/측정 기록 보존</x:v>
      </x:c>
      <x:c r="E5" s="38" t="str">
        <x:v>Docker volume /data/data.json</x:v>
      </x:c>
      <x:c r="F5" s="38" t="str">
        <x:v>재시작 후 재조회</x:v>
      </x:c>
      <x:c r="G5" s="75" t="str">
        <x:v>구현 완료</x:v>
      </x:c>
      <x:c r="H5" s="38" t="str">
        <x:v>세션은 제외</x:v>
      </x:c>
      <x:c r="I5" s="82"/>
      <x:c r="J5" s="82"/>
    </x:row>
    <x:row r="6" ht="15" hidden="0" customHeight="1">
      <x:c r="A6" s="75" t="str">
        <x:v>NFR-004</x:v>
      </x:c>
      <x:c r="B6" s="75" t="str">
        <x:v>저장 안전성</x:v>
      </x:c>
      <x:c r="C6" s="38" t="str">
        <x:v>JSON 부분 저장 방지</x:v>
      </x:c>
      <x:c r="D6" s="38" t="str">
        <x:v>임시 파일 완성 후 원자 교체</x:v>
      </x:c>
      <x:c r="E6" s="38" t="str">
        <x:v>NamedTemporaryFile + os.replace</x:v>
      </x:c>
      <x:c r="F6" s="38" t="str">
        <x:v>동시 스레드 저장 테스트</x:v>
      </x:c>
      <x:c r="G6" s="75" t="str">
        <x:v>구현 완료</x:v>
      </x:c>
      <x:c r="H6" s="38" t="str">
        <x:v>Gunicorn 1 worker</x:v>
      </x:c>
      <x:c r="I6" s="82"/>
      <x:c r="J6" s="82"/>
    </x:row>
    <x:row r="7" ht="15" hidden="0" customHeight="1">
      <x:c r="A7" s="75" t="str">
        <x:v>NFR-005</x:v>
      </x:c>
      <x:c r="B7" s="75" t="str">
        <x:v>동시성</x:v>
      </x:c>
      <x:c r="C7" s="38" t="str">
        <x:v>동일 프로세스 쓰기 직렬화</x:v>
      </x:c>
      <x:c r="D7" s="38" t="str">
        <x:v>등록/수정/삭제 충돌 방지</x:v>
      </x:c>
      <x:c r="E7" s="38" t="str">
        <x:v>threading.RLock</x:v>
      </x:c>
      <x:c r="F7" s="38" t="str">
        <x:v>4 thread 동시 등록</x:v>
      </x:c>
      <x:c r="G7" s="75" t="str">
        <x:v>구현 완료</x:v>
      </x:c>
      <x:c r="H7" s="38" t="str">
        <x:v>다중 프로세스 미지원</x:v>
      </x:c>
      <x:c r="I7" s="82"/>
      <x:c r="J7" s="82"/>
    </x:row>
    <x:row r="8" ht="15" hidden="0" customHeight="1">
      <x:c r="A8" s="75" t="str">
        <x:v>NFR-006</x:v>
      </x:c>
      <x:c r="B8" s="75" t="str">
        <x:v>성능</x:v>
      </x:c>
      <x:c r="C8" s="38" t="str">
        <x:v>과제 규모에서 즉시 응답</x:v>
      </x:c>
      <x:c r="D8" s="38" t="str">
        <x:v>일반 조회 1초 이내 목표</x:v>
      </x:c>
      <x:c r="E8" s="38" t="str">
        <x:v>메모리 로딩 + Python 필터</x:v>
      </x:c>
      <x:c r="F8" s="38" t="str">
        <x:v>로컬 체감 테스트</x:v>
      </x:c>
      <x:c r="G8" s="75" t="str">
        <x:v>목표</x:v>
      </x:c>
      <x:c r="H8" s="38" t="str">
        <x:v>대용량 운영용 아님</x:v>
      </x:c>
      <x:c r="I8" s="82"/>
      <x:c r="J8" s="82"/>
    </x:row>
    <x:row r="9" ht="15" hidden="0" customHeight="1">
      <x:c r="A9" s="75" t="str">
        <x:v>NFR-007</x:v>
      </x:c>
      <x:c r="B9" s="75" t="str">
        <x:v>사용성</x:v>
      </x:c>
      <x:c r="C9" s="38" t="str">
        <x:v>반응형 입력 화면</x:v>
      </x:c>
      <x:c r="D9" s="38" t="str">
        <x:v>입력 셀 겹침 없음</x:v>
      </x:c>
      <x:c r="E9" s="38" t="str">
        <x:v>CSS grid 및 모바일 1열</x:v>
      </x:c>
      <x:c r="F9" s="38" t="str">
        <x:v>브라우저 폭 변경</x:v>
      </x:c>
      <x:c r="G9" s="75" t="str">
        <x:v>구현 완료</x:v>
      </x:c>
      <x:c r="H9" s="38" t="str"/>
      <x:c r="I9" s="82"/>
      <x:c r="J9" s="82"/>
    </x:row>
    <x:row r="10" ht="15" hidden="0" customHeight="1">
      <x:c r="A10" s="75" t="str">
        <x:v>NFR-008</x:v>
      </x:c>
      <x:c r="B10" s="75" t="str">
        <x:v>접근성</x:v>
      </x:c>
      <x:c r="C10" s="38" t="str">
        <x:v>상태는 색상과 텍스트 동시 제공</x:v>
      </x:c>
      <x:c r="D10" s="38" t="str">
        <x:v>정상/주의/위험 텍스트 유지</x:v>
      </x:c>
      <x:c r="E10" s="38" t="str">
        <x:v>상세 카드 색상 + 판정명</x:v>
      </x:c>
      <x:c r="F10" s="38" t="str">
        <x:v>시각 확인</x:v>
      </x:c>
      <x:c r="G10" s="75" t="str">
        <x:v>구현 완료</x:v>
      </x:c>
      <x:c r="H10" s="38" t="str"/>
      <x:c r="I10" s="82"/>
      <x:c r="J10" s="82"/>
    </x:row>
    <x:row r="11" ht="15" hidden="0" customHeight="1">
      <x:c r="A11" s="75" t="str">
        <x:v>NFR-009</x:v>
      </x:c>
      <x:c r="B11" s="75" t="str">
        <x:v>운영</x:v>
      </x:c>
      <x:c r="C11" s="38" t="str">
        <x:v>컨테이너 상태 확인</x:v>
      </x:c>
      <x:c r="D11" s="38" t="str">
        <x:v>backend healthy 후 frontend 시작</x:v>
      </x:c>
      <x:c r="E11" s="38" t="str">
        <x:v>GET /api/health</x:v>
      </x:c>
      <x:c r="F11" s="38" t="str">
        <x:v>docker compose ps</x:v>
      </x:c>
      <x:c r="G11" s="75" t="str">
        <x:v>구현 완료</x:v>
      </x:c>
      <x:c r="H11" s="38" t="str"/>
      <x:c r="I11" s="82"/>
      <x:c r="J11" s="82"/>
    </x:row>
    <x:row r="12" ht="15" hidden="0" customHeight="1">
      <x:c r="A12" s="75" t="str">
        <x:v>NFR-010</x:v>
      </x:c>
      <x:c r="B12" s="75" t="str">
        <x:v>배포</x:v>
      </x:c>
      <x:c r="C12" s="38" t="str">
        <x:v>단일 명령 실행</x:v>
      </x:c>
      <x:c r="D12" s="38" t="str">
        <x:v>docker compose up --build -d</x:v>
      </x:c>
      <x:c r="E12" s="38" t="str">
        <x:v>Nginx + Gunicorn + Flask</x:v>
      </x:c>
      <x:c r="F12" s="38" t="str">
        <x:v>로컬 및 Lightsail</x:v>
      </x:c>
      <x:c r="G12" s="75" t="str">
        <x:v>구현 완료</x:v>
      </x:c>
      <x:c r="H12" s="38" t="str"/>
      <x:c r="I12" s="82"/>
      <x:c r="J12" s="82"/>
    </x:row>
    <x:row r="13" ht="15" hidden="0" customHeight="1">
      <x:c r="A13" s="75" t="str">
        <x:v>NFR-011</x:v>
      </x:c>
      <x:c r="B13" s="75" t="str">
        <x:v>개인정보</x:v>
      </x:c>
      <x:c r="C13" s="38" t="str">
        <x:v>실제 data.json Git 제외</x:v>
      </x:c>
      <x:c r="D13" s="38" t="str">
        <x:v>사용자 데이터 저장소 미커밋</x:v>
      </x:c>
      <x:c r="E13" s="38" t="str">
        <x:v>.gitignore + data.example.json</x:v>
      </x:c>
      <x:c r="F13" s="38" t="str">
        <x:v>git status</x:v>
      </x:c>
      <x:c r="G13" s="75" t="str">
        <x:v>구현 완료</x:v>
      </x:c>
      <x:c r="H13" s="38" t="str"/>
      <x:c r="I13" s="82"/>
      <x:c r="J13" s="82"/>
    </x:row>
    <x:row r="14" ht="15" hidden="0" customHeight="1">
      <x:c r="A14" s="75" t="str">
        <x:v>NFR-012</x:v>
      </x:c>
      <x:c r="B14" s="75" t="str">
        <x:v>신뢰성</x:v>
      </x:c>
      <x:c r="C14" s="38" t="str">
        <x:v>의료 진단 오인 방지</x:v>
      </x:c>
      <x:c r="D14" s="38" t="str">
        <x:v>참고용 문구 표시</x:v>
      </x:c>
      <x:c r="E14" s="38" t="str">
        <x:v>상세/경고 UI 안내</x:v>
      </x:c>
      <x:c r="F14" s="38" t="str">
        <x:v>화면 확인</x:v>
      </x:c>
      <x:c r="G14" s="75" t="str">
        <x:v>구현 완료</x:v>
      </x:c>
      <x:c r="H14" s="38" t="str"/>
      <x:c r="I14" s="82"/>
      <x:c r="J14" s="82"/>
    </x:row>
    <x:row r="15" ht="15" hidden="0" customHeight="1">
      <x:c r="A15" s="82"/>
      <x:c r="B15" s="82"/>
      <x:c r="C15" s="82"/>
      <x:c r="D15" s="82"/>
      <x:c r="E15" s="82"/>
      <x:c r="F15" s="82"/>
      <x:c r="G15" s="82"/>
      <x:c r="H15" s="82"/>
      <x:c r="I15" s="82"/>
      <x:c r="J15" s="82"/>
    </x:row>
    <x:row r="16" ht="15" hidden="0" customHeight="1">
      <x:c r="A16" s="82"/>
      <x:c r="B16" s="82"/>
      <x:c r="C16" s="82"/>
      <x:c r="D16" s="82"/>
      <x:c r="E16" s="82"/>
      <x:c r="F16" s="82"/>
      <x:c r="G16" s="82"/>
      <x:c r="H16" s="82"/>
      <x:c r="I16" s="82"/>
      <x:c r="J16" s="82"/>
    </x:row>
    <x:row r="17" ht="15" hidden="0" customHeight="1">
      <x:c r="A17" s="82"/>
      <x:c r="B17" s="82"/>
      <x:c r="C17" s="82"/>
      <x:c r="D17" s="82"/>
      <x:c r="E17" s="82"/>
      <x:c r="F17" s="82"/>
      <x:c r="G17" s="82"/>
      <x:c r="H17" s="82"/>
      <x:c r="I17" s="82"/>
      <x:c r="J17" s="82"/>
    </x:row>
    <x:row r="18" ht="15" hidden="0" customHeight="1">
      <x:c r="A18" s="82"/>
      <x:c r="B18" s="82"/>
      <x:c r="C18" s="82"/>
      <x:c r="D18" s="82"/>
      <x:c r="E18" s="82"/>
      <x:c r="F18" s="82"/>
      <x:c r="G18" s="82"/>
      <x:c r="H18" s="82"/>
      <x:c r="I18" s="82"/>
      <x:c r="J18" s="82"/>
    </x:row>
    <x:row r="19" ht="15" hidden="0" customHeight="1">
      <x:c r="A19" s="82"/>
      <x:c r="B19" s="82"/>
      <x:c r="C19" s="82"/>
      <x:c r="D19" s="82"/>
      <x:c r="E19" s="82"/>
      <x:c r="F19" s="82"/>
      <x:c r="G19" s="82"/>
      <x:c r="H19" s="82"/>
      <x:c r="I19" s="82"/>
      <x:c r="J19" s="82"/>
    </x:row>
    <x:row r="20" ht="15" hidden="0" customHeight="1">
      <x:c r="A20" s="82"/>
      <x:c r="B20" s="82"/>
      <x:c r="C20" s="82"/>
      <x:c r="D20" s="82"/>
      <x:c r="E20" s="82"/>
      <x:c r="F20" s="82"/>
      <x:c r="G20" s="82"/>
      <x:c r="H20" s="82"/>
      <x:c r="I20" s="82"/>
      <x:c r="J20" s="82"/>
    </x:row>
    <x:row r="21" ht="15" hidden="0" customHeight="1">
      <x:c r="A21" s="82"/>
      <x:c r="B21" s="82"/>
      <x:c r="C21" s="82"/>
      <x:c r="D21" s="82"/>
      <x:c r="E21" s="82"/>
      <x:c r="F21" s="82"/>
      <x:c r="G21" s="82"/>
      <x:c r="H21" s="82"/>
      <x:c r="I21" s="82"/>
      <x:c r="J21" s="82"/>
    </x:row>
    <x:row r="22" ht="15" hidden="0" customHeight="1">
      <x:c r="A22" s="82"/>
      <x:c r="B22" s="82"/>
      <x:c r="C22" s="82"/>
      <x:c r="D22" s="82"/>
      <x:c r="E22" s="82"/>
      <x:c r="F22" s="82"/>
      <x:c r="G22" s="82"/>
      <x:c r="H22" s="82"/>
      <x:c r="I22" s="82"/>
      <x:c r="J22" s="82"/>
    </x:row>
    <x:row r="23" ht="15" hidden="0" customHeight="1">
      <x:c r="A23" s="82"/>
      <x:c r="B23" s="82"/>
      <x:c r="C23" s="82"/>
      <x:c r="D23" s="82"/>
      <x:c r="E23" s="82"/>
      <x:c r="F23" s="82"/>
      <x:c r="G23" s="82"/>
      <x:c r="H23" s="82"/>
      <x:c r="I23" s="82"/>
      <x:c r="J23" s="82"/>
    </x:row>
    <x:row r="24" ht="15" hidden="0" customHeight="1">
      <x:c r="A24" s="82"/>
      <x:c r="B24" s="82"/>
      <x:c r="C24" s="82"/>
      <x:c r="D24" s="82"/>
      <x:c r="E24" s="82"/>
      <x:c r="F24" s="82"/>
      <x:c r="G24" s="82"/>
      <x:c r="H24" s="82"/>
      <x:c r="I24" s="82"/>
      <x:c r="J24" s="82"/>
    </x:row>
    <x:row r="25" ht="15" hidden="0" customHeight="1">
      <x:c r="A25" s="82"/>
      <x:c r="B25" s="82"/>
      <x:c r="C25" s="82"/>
      <x:c r="D25" s="82"/>
      <x:c r="E25" s="82"/>
      <x:c r="F25" s="82"/>
      <x:c r="G25" s="82"/>
      <x:c r="H25" s="82"/>
      <x:c r="I25" s="82"/>
      <x:c r="J25" s="82"/>
    </x:row>
    <x:row r="26" ht="15" hidden="0" customHeight="1">
      <x:c r="A26" s="82"/>
      <x:c r="B26" s="82"/>
      <x:c r="C26" s="82"/>
      <x:c r="D26" s="82"/>
      <x:c r="E26" s="82"/>
      <x:c r="F26" s="82"/>
      <x:c r="G26" s="82"/>
      <x:c r="H26" s="82"/>
      <x:c r="I26" s="82"/>
      <x:c r="J26" s="82"/>
    </x:row>
    <x:row r="27" ht="15" hidden="0" customHeight="1">
      <x:c r="A27" s="82"/>
      <x:c r="B27" s="82"/>
      <x:c r="C27" s="82"/>
      <x:c r="D27" s="82"/>
      <x:c r="E27" s="82"/>
      <x:c r="F27" s="82"/>
      <x:c r="G27" s="82"/>
      <x:c r="H27" s="82"/>
      <x:c r="I27" s="82"/>
      <x:c r="J27" s="82"/>
    </x:row>
    <x:row r="28" ht="15" hidden="0" customHeight="1">
      <x:c r="A28" s="82"/>
      <x:c r="B28" s="82"/>
      <x:c r="C28" s="82"/>
      <x:c r="D28" s="82"/>
      <x:c r="E28" s="82"/>
      <x:c r="F28" s="82"/>
      <x:c r="G28" s="82"/>
      <x:c r="H28" s="82"/>
      <x:c r="I28" s="82"/>
      <x:c r="J28" s="82"/>
    </x:row>
    <x:row r="29" ht="15" hidden="0" customHeight="1">
      <x:c r="A29" s="82"/>
      <x:c r="B29" s="82"/>
      <x:c r="C29" s="82"/>
      <x:c r="D29" s="82"/>
      <x:c r="E29" s="82"/>
      <x:c r="F29" s="82"/>
      <x:c r="G29" s="82"/>
      <x:c r="H29" s="82"/>
      <x:c r="I29" s="82"/>
      <x:c r="J29" s="82"/>
    </x:row>
    <x:row r="30" ht="15" hidden="0" customHeight="1">
      <x:c r="A30" s="82"/>
      <x:c r="B30" s="82"/>
      <x:c r="C30" s="82"/>
      <x:c r="D30" s="82"/>
      <x:c r="E30" s="82"/>
      <x:c r="F30" s="82"/>
      <x:c r="G30" s="82"/>
      <x:c r="H30" s="82"/>
      <x:c r="I30" s="82"/>
      <x:c r="J30" s="82"/>
    </x:row>
    <x:row r="31" ht="15" hidden="0" customHeight="1">
      <x:c r="A31" s="82"/>
      <x:c r="B31" s="82"/>
      <x:c r="C31" s="82"/>
      <x:c r="D31" s="82"/>
      <x:c r="E31" s="82"/>
      <x:c r="F31" s="82"/>
      <x:c r="G31" s="82"/>
      <x:c r="H31" s="82"/>
      <x:c r="I31" s="82"/>
      <x:c r="J31" s="82"/>
    </x:row>
    <x:row r="32" ht="15" hidden="0" customHeight="1">
      <x:c r="A32" s="82"/>
      <x:c r="B32" s="82"/>
      <x:c r="C32" s="82"/>
      <x:c r="D32" s="82"/>
      <x:c r="E32" s="82"/>
      <x:c r="F32" s="82"/>
      <x:c r="G32" s="82"/>
      <x:c r="H32" s="82"/>
      <x:c r="I32" s="82"/>
      <x:c r="J32" s="82"/>
    </x:row>
    <x:row r="33" ht="15" hidden="0" customHeight="1">
      <x:c r="A33" s="82"/>
      <x:c r="B33" s="82"/>
      <x:c r="C33" s="82"/>
      <x:c r="D33" s="82"/>
      <x:c r="E33" s="82"/>
      <x:c r="F33" s="82"/>
      <x:c r="G33" s="82"/>
      <x:c r="H33" s="82"/>
      <x:c r="I33" s="82"/>
      <x:c r="J33" s="82"/>
    </x:row>
    <x:row r="34" ht="15" hidden="0" customHeight="1">
      <x:c r="A34" s="82"/>
      <x:c r="B34" s="82"/>
      <x:c r="C34" s="82"/>
      <x:c r="D34" s="82"/>
      <x:c r="E34" s="82"/>
      <x:c r="F34" s="82"/>
      <x:c r="G34" s="82"/>
      <x:c r="H34" s="82"/>
      <x:c r="I34" s="82"/>
      <x:c r="J34" s="82"/>
    </x:row>
    <x:row r="35" ht="15" hidden="0" customHeight="1">
      <x:c r="A35" s="82"/>
      <x:c r="B35" s="82"/>
      <x:c r="C35" s="82"/>
      <x:c r="D35" s="82"/>
      <x:c r="E35" s="82"/>
      <x:c r="F35" s="82"/>
      <x:c r="G35" s="82"/>
      <x:c r="H35" s="82"/>
      <x:c r="I35" s="82"/>
      <x:c r="J35" s="82"/>
    </x:row>
    <x:row r="36" ht="15" hidden="0" customHeight="1">
      <x:c r="A36" s="82"/>
      <x:c r="B36" s="82"/>
      <x:c r="C36" s="82"/>
      <x:c r="D36" s="82"/>
      <x:c r="E36" s="82"/>
      <x:c r="F36" s="82"/>
      <x:c r="G36" s="82"/>
      <x:c r="H36" s="82"/>
      <x:c r="I36" s="82"/>
      <x:c r="J36" s="82"/>
    </x:row>
    <x:row r="37" ht="15" hidden="0" customHeight="1">
      <x:c r="A37" s="82"/>
      <x:c r="B37" s="82"/>
      <x:c r="C37" s="82"/>
      <x:c r="D37" s="82"/>
      <x:c r="E37" s="82"/>
      <x:c r="F37" s="82"/>
      <x:c r="G37" s="82"/>
      <x:c r="H37" s="82"/>
      <x:c r="I37" s="82"/>
      <x:c r="J37" s="82"/>
    </x:row>
    <x:row r="38" ht="15" hidden="0" customHeight="1">
      <x:c r="A38" s="82"/>
      <x:c r="B38" s="82"/>
      <x:c r="C38" s="82"/>
      <x:c r="D38" s="82"/>
      <x:c r="E38" s="82"/>
      <x:c r="F38" s="82"/>
      <x:c r="G38" s="82"/>
      <x:c r="H38" s="82"/>
      <x:c r="I38" s="82"/>
      <x:c r="J38" s="82"/>
    </x:row>
    <x:row r="39" ht="15" hidden="0" customHeight="1">
      <x:c r="A39" s="82"/>
      <x:c r="B39" s="82"/>
      <x:c r="C39" s="82"/>
      <x:c r="D39" s="82"/>
      <x:c r="E39" s="82"/>
      <x:c r="F39" s="82"/>
      <x:c r="G39" s="82"/>
      <x:c r="H39" s="82"/>
      <x:c r="I39" s="82"/>
      <x:c r="J39" s="82"/>
    </x:row>
    <x:row r="40" ht="15" hidden="0" customHeight="1">
      <x:c r="A40" s="82"/>
      <x:c r="B40" s="82"/>
      <x:c r="C40" s="82"/>
      <x:c r="D40" s="82"/>
      <x:c r="E40" s="82"/>
      <x:c r="F40" s="82"/>
      <x:c r="G40" s="82"/>
      <x:c r="H40" s="82"/>
      <x:c r="I40" s="82"/>
      <x:c r="J40" s="82"/>
    </x:row>
    <x:row r="41" ht="15" hidden="0" customHeight="1">
      <x:c r="A41" s="82"/>
      <x:c r="B41" s="82"/>
      <x:c r="C41" s="82"/>
      <x:c r="D41" s="82"/>
      <x:c r="E41" s="82"/>
      <x:c r="F41" s="82"/>
      <x:c r="G41" s="82"/>
      <x:c r="H41" s="82"/>
      <x:c r="I41" s="82"/>
      <x:c r="J41" s="82"/>
    </x:row>
    <x:row r="42" ht="15" hidden="0" customHeight="1">
      <x:c r="A42" s="82"/>
      <x:c r="B42" s="82"/>
      <x:c r="C42" s="82"/>
      <x:c r="D42" s="82"/>
      <x:c r="E42" s="82"/>
      <x:c r="F42" s="82"/>
      <x:c r="G42" s="82"/>
      <x:c r="H42" s="82"/>
      <x:c r="I42" s="82"/>
      <x:c r="J42" s="82"/>
    </x:row>
    <x:row r="43" ht="15" hidden="0" customHeight="1">
      <x:c r="A43" s="82"/>
      <x:c r="B43" s="82"/>
      <x:c r="C43" s="82"/>
      <x:c r="D43" s="82"/>
      <x:c r="E43" s="82"/>
      <x:c r="F43" s="82"/>
      <x:c r="G43" s="82"/>
      <x:c r="H43" s="82"/>
      <x:c r="I43" s="82"/>
      <x:c r="J43" s="82"/>
    </x:row>
    <x:row r="44" ht="15" hidden="0" customHeight="1">
      <x:c r="A44" s="82"/>
      <x:c r="B44" s="82"/>
      <x:c r="C44" s="82"/>
      <x:c r="D44" s="82"/>
      <x:c r="E44" s="82"/>
      <x:c r="F44" s="82"/>
      <x:c r="G44" s="82"/>
      <x:c r="H44" s="82"/>
      <x:c r="I44" s="82"/>
      <x:c r="J44" s="82"/>
    </x:row>
    <x:row r="45" ht="15" hidden="0" customHeight="1">
      <x:c r="A45" s="82"/>
      <x:c r="B45" s="82"/>
      <x:c r="C45" s="82"/>
      <x:c r="D45" s="82"/>
      <x:c r="E45" s="82"/>
      <x:c r="F45" s="82"/>
      <x:c r="G45" s="82"/>
      <x:c r="H45" s="82"/>
      <x:c r="I45" s="82"/>
      <x:c r="J45" s="82"/>
    </x:row>
    <x:row r="46" ht="15" hidden="0" customHeight="1">
      <x:c r="A46" s="82"/>
      <x:c r="B46" s="82"/>
      <x:c r="C46" s="82"/>
      <x:c r="D46" s="82"/>
      <x:c r="E46" s="82"/>
      <x:c r="F46" s="82"/>
      <x:c r="G46" s="82"/>
      <x:c r="H46" s="82"/>
      <x:c r="I46" s="82"/>
      <x:c r="J46" s="82"/>
    </x:row>
    <x:row r="47" ht="15" hidden="0" customHeight="1">
      <x:c r="A47" s="82"/>
      <x:c r="B47" s="82"/>
      <x:c r="C47" s="82"/>
      <x:c r="D47" s="82"/>
      <x:c r="E47" s="82"/>
      <x:c r="F47" s="82"/>
      <x:c r="G47" s="82"/>
      <x:c r="H47" s="82"/>
      <x:c r="I47" s="82"/>
      <x:c r="J47" s="82"/>
    </x:row>
    <x:row r="48" ht="15" hidden="0" customHeight="1">
      <x:c r="A48" s="82"/>
      <x:c r="B48" s="82"/>
      <x:c r="C48" s="82"/>
      <x:c r="D48" s="82"/>
      <x:c r="E48" s="82"/>
      <x:c r="F48" s="82"/>
      <x:c r="G48" s="82"/>
      <x:c r="H48" s="82"/>
      <x:c r="I48" s="82"/>
      <x:c r="J48" s="82"/>
    </x:row>
    <x:row r="49" ht="15" hidden="0" customHeight="1">
      <x:c r="A49" s="82"/>
      <x:c r="B49" s="82"/>
      <x:c r="C49" s="82"/>
      <x:c r="D49" s="82"/>
      <x:c r="E49" s="82"/>
      <x:c r="F49" s="82"/>
      <x:c r="G49" s="82"/>
      <x:c r="H49" s="82"/>
      <x:c r="I49" s="82"/>
      <x:c r="J49" s="82"/>
    </x:row>
    <x:row r="50" ht="15" hidden="0" customHeight="1">
      <x:c r="A50" s="82"/>
      <x:c r="B50" s="82"/>
      <x:c r="C50" s="82"/>
      <x:c r="D50" s="82"/>
      <x:c r="E50" s="82"/>
      <x:c r="F50" s="82"/>
      <x:c r="G50" s="82"/>
      <x:c r="H50" s="82"/>
      <x:c r="I50" s="82"/>
      <x:c r="J50" s="82"/>
    </x:row>
    <x:row r="51" ht="15" hidden="0" customHeight="1">
      <x:c r="A51" s="82"/>
      <x:c r="B51" s="82"/>
      <x:c r="C51" s="82"/>
      <x:c r="D51" s="82"/>
      <x:c r="E51" s="82"/>
      <x:c r="F51" s="82"/>
      <x:c r="G51" s="82"/>
      <x:c r="H51" s="82"/>
      <x:c r="I51" s="82"/>
      <x:c r="J51" s="82"/>
    </x:row>
    <x:row r="52" ht="15" hidden="0" customHeight="1">
      <x:c r="A52" s="82"/>
      <x:c r="B52" s="82"/>
      <x:c r="C52" s="82"/>
      <x:c r="D52" s="82"/>
      <x:c r="E52" s="82"/>
      <x:c r="F52" s="82"/>
      <x:c r="G52" s="82"/>
      <x:c r="H52" s="82"/>
      <x:c r="I52" s="82"/>
      <x:c r="J52" s="82"/>
    </x:row>
    <x:row r="53" ht="15" hidden="0" customHeight="1">
      <x:c r="A53" s="82"/>
      <x:c r="B53" s="82"/>
      <x:c r="C53" s="82"/>
      <x:c r="D53" s="82"/>
      <x:c r="E53" s="82"/>
      <x:c r="F53" s="82"/>
      <x:c r="G53" s="82"/>
      <x:c r="H53" s="82"/>
      <x:c r="I53" s="82"/>
      <x:c r="J53" s="82"/>
    </x:row>
    <x:row r="54" ht="15" hidden="0" customHeight="1">
      <x:c r="A54" s="82"/>
      <x:c r="B54" s="82"/>
      <x:c r="C54" s="82"/>
      <x:c r="D54" s="82"/>
      <x:c r="E54" s="82"/>
      <x:c r="F54" s="82"/>
      <x:c r="G54" s="82"/>
      <x:c r="H54" s="82"/>
      <x:c r="I54" s="82"/>
      <x:c r="J54" s="82"/>
    </x:row>
    <x:row r="55" ht="15" hidden="0" customHeight="1">
      <x:c r="A55" s="82"/>
      <x:c r="B55" s="82"/>
      <x:c r="C55" s="82"/>
      <x:c r="D55" s="82"/>
      <x:c r="E55" s="82"/>
      <x:c r="F55" s="82"/>
      <x:c r="G55" s="82"/>
      <x:c r="H55" s="82"/>
      <x:c r="I55" s="82"/>
      <x:c r="J55" s="82"/>
    </x:row>
    <x:row r="56" ht="15" hidden="0" customHeight="1">
      <x:c r="A56" s="82"/>
      <x:c r="B56" s="82"/>
      <x:c r="C56" s="82"/>
      <x:c r="D56" s="82"/>
      <x:c r="E56" s="82"/>
      <x:c r="F56" s="82"/>
      <x:c r="G56" s="82"/>
      <x:c r="H56" s="82"/>
      <x:c r="I56" s="82"/>
      <x:c r="J56" s="82"/>
    </x:row>
    <x:row r="57" ht="15" hidden="0" customHeight="1">
      <x:c r="A57" s="82"/>
      <x:c r="B57" s="82"/>
      <x:c r="C57" s="82"/>
      <x:c r="D57" s="82"/>
      <x:c r="E57" s="82"/>
      <x:c r="F57" s="82"/>
      <x:c r="G57" s="82"/>
      <x:c r="H57" s="82"/>
      <x:c r="I57" s="82"/>
      <x:c r="J57" s="82"/>
    </x:row>
    <x:row r="58" ht="15" hidden="0" customHeight="1">
      <x:c r="A58" s="82"/>
      <x:c r="B58" s="82"/>
      <x:c r="C58" s="82"/>
      <x:c r="D58" s="82"/>
      <x:c r="E58" s="82"/>
      <x:c r="F58" s="82"/>
      <x:c r="G58" s="82"/>
      <x:c r="H58" s="82"/>
      <x:c r="I58" s="82"/>
      <x:c r="J58" s="82"/>
    </x:row>
    <x:row r="59" ht="15" hidden="0" customHeight="1">
      <x:c r="A59" s="82"/>
      <x:c r="B59" s="82"/>
      <x:c r="C59" s="82"/>
      <x:c r="D59" s="82"/>
      <x:c r="E59" s="82"/>
      <x:c r="F59" s="82"/>
      <x:c r="G59" s="82"/>
      <x:c r="H59" s="82"/>
      <x:c r="I59" s="82"/>
      <x:c r="J59" s="82"/>
    </x:row>
    <x:row r="60" ht="15" hidden="0" customHeight="1">
      <x:c r="A60" s="82"/>
      <x:c r="B60" s="82"/>
      <x:c r="C60" s="82"/>
      <x:c r="D60" s="82"/>
      <x:c r="E60" s="82"/>
      <x:c r="F60" s="82"/>
      <x:c r="G60" s="82"/>
      <x:c r="H60" s="82"/>
      <x:c r="I60" s="82"/>
      <x:c r="J60" s="82"/>
    </x:row>
    <x:row r="61" ht="15" hidden="0" customHeight="1">
      <x:c r="A61" s="82"/>
      <x:c r="B61" s="82"/>
      <x:c r="C61" s="82"/>
      <x:c r="D61" s="82"/>
      <x:c r="E61" s="82"/>
      <x:c r="F61" s="82"/>
      <x:c r="G61" s="82"/>
      <x:c r="H61" s="82"/>
      <x:c r="I61" s="82"/>
      <x:c r="J61" s="82"/>
    </x:row>
    <x:row r="62" ht="15" hidden="0" customHeight="1">
      <x:c r="A62" s="82"/>
      <x:c r="B62" s="82"/>
      <x:c r="C62" s="82"/>
      <x:c r="D62" s="82"/>
      <x:c r="E62" s="82"/>
      <x:c r="F62" s="82"/>
      <x:c r="G62" s="82"/>
      <x:c r="H62" s="82"/>
      <x:c r="I62" s="82"/>
      <x:c r="J62" s="82"/>
    </x:row>
    <x:row r="63" ht="15" hidden="0" customHeight="1">
      <x:c r="A63" s="82"/>
      <x:c r="B63" s="82"/>
      <x:c r="C63" s="82"/>
      <x:c r="D63" s="82"/>
      <x:c r="E63" s="82"/>
      <x:c r="F63" s="82"/>
      <x:c r="G63" s="82"/>
      <x:c r="H63" s="82"/>
      <x:c r="I63" s="82"/>
      <x:c r="J63" s="82"/>
    </x:row>
    <x:row r="64" ht="15" hidden="0" customHeight="1">
      <x:c r="A64" s="82"/>
      <x:c r="B64" s="82"/>
      <x:c r="C64" s="82"/>
      <x:c r="D64" s="82"/>
      <x:c r="E64" s="82"/>
      <x:c r="F64" s="82"/>
      <x:c r="G64" s="82"/>
      <x:c r="H64" s="82"/>
      <x:c r="I64" s="82"/>
      <x:c r="J64" s="82"/>
    </x:row>
    <x:row r="65" ht="15" hidden="0" customHeight="1">
      <x:c r="A65" s="82"/>
      <x:c r="B65" s="82"/>
      <x:c r="C65" s="82"/>
      <x:c r="D65" s="82"/>
      <x:c r="E65" s="82"/>
      <x:c r="F65" s="82"/>
      <x:c r="G65" s="82"/>
      <x:c r="H65" s="82"/>
      <x:c r="I65" s="82"/>
      <x:c r="J65" s="82"/>
    </x:row>
    <x:row r="66" ht="15" hidden="0" customHeight="1">
      <x:c r="A66" s="82"/>
      <x:c r="B66" s="82"/>
      <x:c r="C66" s="82"/>
      <x:c r="D66" s="82"/>
      <x:c r="E66" s="82"/>
      <x:c r="F66" s="82"/>
      <x:c r="G66" s="82"/>
      <x:c r="H66" s="82"/>
      <x:c r="I66" s="82"/>
      <x:c r="J66" s="82"/>
    </x:row>
    <x:row r="67" ht="15" hidden="0" customHeight="1">
      <x:c r="A67" s="82"/>
      <x:c r="B67" s="82"/>
      <x:c r="C67" s="82"/>
      <x:c r="D67" s="82"/>
      <x:c r="E67" s="82"/>
      <x:c r="F67" s="82"/>
      <x:c r="G67" s="82"/>
      <x:c r="H67" s="82"/>
      <x:c r="I67" s="82"/>
      <x:c r="J67" s="82"/>
    </x:row>
    <x:row r="68" ht="15" hidden="0" customHeight="1">
      <x:c r="A68" s="82"/>
      <x:c r="B68" s="82"/>
      <x:c r="C68" s="82"/>
      <x:c r="D68" s="82"/>
      <x:c r="E68" s="82"/>
      <x:c r="F68" s="82"/>
      <x:c r="G68" s="82"/>
      <x:c r="H68" s="82"/>
      <x:c r="I68" s="82"/>
      <x:c r="J68" s="82"/>
    </x:row>
    <x:row r="69" ht="15" hidden="0" customHeight="1">
      <x:c r="A69" s="82"/>
      <x:c r="B69" s="82"/>
      <x:c r="C69" s="82"/>
      <x:c r="D69" s="82"/>
      <x:c r="E69" s="82"/>
      <x:c r="F69" s="82"/>
      <x:c r="G69" s="82"/>
      <x:c r="H69" s="82"/>
      <x:c r="I69" s="82"/>
      <x:c r="J69" s="82"/>
    </x:row>
    <x:row r="70" ht="15" hidden="0" customHeight="1">
      <x:c r="A70" s="82"/>
      <x:c r="B70" s="82"/>
      <x:c r="C70" s="82"/>
      <x:c r="D70" s="82"/>
      <x:c r="E70" s="82"/>
      <x:c r="F70" s="82"/>
      <x:c r="G70" s="82"/>
      <x:c r="H70" s="82"/>
      <x:c r="I70" s="82"/>
      <x:c r="J70" s="82"/>
    </x:row>
    <x:row r="71" ht="15" hidden="0" customHeight="1">
      <x:c r="A71" s="82"/>
      <x:c r="B71" s="82"/>
      <x:c r="C71" s="82"/>
      <x:c r="D71" s="82"/>
      <x:c r="E71" s="82"/>
      <x:c r="F71" s="82"/>
      <x:c r="G71" s="82"/>
      <x:c r="H71" s="82"/>
      <x:c r="I71" s="82"/>
      <x:c r="J71" s="82"/>
    </x:row>
    <x:row r="72" ht="15" hidden="0" customHeight="1">
      <x:c r="A72" s="82"/>
      <x:c r="B72" s="82"/>
      <x:c r="C72" s="82"/>
      <x:c r="D72" s="82"/>
      <x:c r="E72" s="82"/>
      <x:c r="F72" s="82"/>
      <x:c r="G72" s="82"/>
      <x:c r="H72" s="82"/>
      <x:c r="I72" s="82"/>
      <x:c r="J72" s="82"/>
    </x:row>
    <x:row r="73" ht="15" hidden="0" customHeight="1">
      <x:c r="A73" s="82"/>
      <x:c r="B73" s="82"/>
      <x:c r="C73" s="82"/>
      <x:c r="D73" s="82"/>
      <x:c r="E73" s="82"/>
      <x:c r="F73" s="82"/>
      <x:c r="G73" s="82"/>
      <x:c r="H73" s="82"/>
      <x:c r="I73" s="82"/>
      <x:c r="J73" s="82"/>
    </x:row>
    <x:row r="74" ht="15" hidden="0" customHeight="1">
      <x:c r="A74" s="82"/>
      <x:c r="B74" s="82"/>
      <x:c r="C74" s="82"/>
      <x:c r="D74" s="82"/>
      <x:c r="E74" s="82"/>
      <x:c r="F74" s="82"/>
      <x:c r="G74" s="82"/>
      <x:c r="H74" s="82"/>
      <x:c r="I74" s="82"/>
      <x:c r="J74" s="82"/>
    </x:row>
    <x:row r="75" ht="15" hidden="0" customHeight="1">
      <x:c r="A75" s="82"/>
      <x:c r="B75" s="82"/>
      <x:c r="C75" s="82"/>
      <x:c r="D75" s="82"/>
      <x:c r="E75" s="82"/>
      <x:c r="F75" s="82"/>
      <x:c r="G75" s="82"/>
      <x:c r="H75" s="82"/>
      <x:c r="I75" s="82"/>
      <x:c r="J75" s="82"/>
    </x:row>
    <x:row r="76" ht="15" hidden="0" customHeight="1">
      <x:c r="A76" s="82"/>
      <x:c r="B76" s="82"/>
      <x:c r="C76" s="82"/>
      <x:c r="D76" s="82"/>
      <x:c r="E76" s="82"/>
      <x:c r="F76" s="82"/>
      <x:c r="G76" s="82"/>
      <x:c r="H76" s="82"/>
      <x:c r="I76" s="82"/>
      <x:c r="J76" s="82"/>
    </x:row>
    <x:row r="77" ht="15" hidden="0" customHeight="1">
      <x:c r="A77" s="82"/>
      <x:c r="B77" s="82"/>
      <x:c r="C77" s="82"/>
      <x:c r="D77" s="82"/>
      <x:c r="E77" s="82"/>
      <x:c r="F77" s="82"/>
      <x:c r="G77" s="82"/>
      <x:c r="H77" s="82"/>
      <x:c r="I77" s="82"/>
      <x:c r="J77" s="82"/>
    </x:row>
    <x:row r="78" ht="15" hidden="0" customHeight="1">
      <x:c r="A78" s="82"/>
      <x:c r="B78" s="82"/>
      <x:c r="C78" s="82"/>
      <x:c r="D78" s="82"/>
      <x:c r="E78" s="82"/>
      <x:c r="F78" s="82"/>
      <x:c r="G78" s="82"/>
      <x:c r="H78" s="82"/>
      <x:c r="I78" s="82"/>
      <x:c r="J78" s="82"/>
    </x:row>
    <x:row r="79" ht="15" hidden="0" customHeight="1">
      <x:c r="A79" s="82"/>
      <x:c r="B79" s="82"/>
      <x:c r="C79" s="82"/>
      <x:c r="D79" s="82"/>
      <x:c r="E79" s="82"/>
      <x:c r="F79" s="82"/>
      <x:c r="G79" s="82"/>
      <x:c r="H79" s="82"/>
      <x:c r="I79" s="82"/>
      <x:c r="J79" s="82"/>
    </x:row>
    <x:row r="80" ht="15" hidden="0" customHeight="1">
      <x:c r="A80" s="82"/>
      <x:c r="B80" s="82"/>
      <x:c r="C80" s="82"/>
      <x:c r="D80" s="82"/>
      <x:c r="E80" s="82"/>
      <x:c r="F80" s="82"/>
      <x:c r="G80" s="82"/>
      <x:c r="H80" s="82"/>
      <x:c r="I80" s="82"/>
      <x:c r="J80" s="82"/>
    </x:row>
    <x:row r="81" ht="15" hidden="0" customHeight="1">
      <x:c r="A81" s="82"/>
      <x:c r="B81" s="82"/>
      <x:c r="C81" s="82"/>
      <x:c r="D81" s="82"/>
      <x:c r="E81" s="82"/>
      <x:c r="F81" s="82"/>
      <x:c r="G81" s="82"/>
      <x:c r="H81" s="82"/>
      <x:c r="I81" s="82"/>
      <x:c r="J81" s="82"/>
    </x:row>
    <x:row r="82" ht="15" hidden="0" customHeight="1">
      <x:c r="A82" s="82"/>
      <x:c r="B82" s="82"/>
      <x:c r="C82" s="82"/>
      <x:c r="D82" s="82"/>
      <x:c r="E82" s="82"/>
      <x:c r="F82" s="82"/>
      <x:c r="G82" s="82"/>
      <x:c r="H82" s="82"/>
      <x:c r="I82" s="82"/>
      <x:c r="J82" s="82"/>
    </x:row>
    <x:row r="83" ht="15" hidden="0" customHeight="1">
      <x:c r="A83" s="82"/>
      <x:c r="B83" s="82"/>
      <x:c r="C83" s="82"/>
      <x:c r="D83" s="82"/>
      <x:c r="E83" s="82"/>
      <x:c r="F83" s="82"/>
      <x:c r="G83" s="82"/>
      <x:c r="H83" s="82"/>
      <x:c r="I83" s="82"/>
      <x:c r="J83" s="82"/>
    </x:row>
    <x:row r="84" ht="15" hidden="0" customHeight="1">
      <x:c r="A84" s="82"/>
      <x:c r="B84" s="82"/>
      <x:c r="C84" s="82"/>
      <x:c r="D84" s="82"/>
      <x:c r="E84" s="82"/>
      <x:c r="F84" s="82"/>
      <x:c r="G84" s="82"/>
      <x:c r="H84" s="82"/>
      <x:c r="I84" s="82"/>
      <x:c r="J84" s="82"/>
    </x:row>
    <x:row r="85" ht="15" hidden="0" customHeight="1">
      <x:c r="A85" s="82"/>
      <x:c r="B85" s="82"/>
      <x:c r="C85" s="82"/>
      <x:c r="D85" s="82"/>
      <x:c r="E85" s="82"/>
      <x:c r="F85" s="82"/>
      <x:c r="G85" s="82"/>
      <x:c r="H85" s="82"/>
      <x:c r="I85" s="82"/>
      <x:c r="J85" s="82"/>
    </x:row>
    <x:row r="86" ht="15" hidden="0" customHeight="1">
      <x:c r="A86" s="82"/>
      <x:c r="B86" s="82"/>
      <x:c r="C86" s="82"/>
      <x:c r="D86" s="82"/>
      <x:c r="E86" s="82"/>
      <x:c r="F86" s="82"/>
      <x:c r="G86" s="82"/>
      <x:c r="H86" s="82"/>
      <x:c r="I86" s="82"/>
      <x:c r="J86" s="82"/>
    </x:row>
    <x:row r="87" ht="15" hidden="0" customHeight="1">
      <x:c r="A87" s="82"/>
      <x:c r="B87" s="82"/>
      <x:c r="C87" s="82"/>
      <x:c r="D87" s="82"/>
      <x:c r="E87" s="82"/>
      <x:c r="F87" s="82"/>
      <x:c r="G87" s="82"/>
      <x:c r="H87" s="82"/>
      <x:c r="I87" s="82"/>
      <x:c r="J87" s="82"/>
    </x:row>
    <x:row r="88" ht="15" hidden="0" customHeight="1">
      <x:c r="A88" s="82"/>
      <x:c r="B88" s="82"/>
      <x:c r="C88" s="82"/>
      <x:c r="D88" s="82"/>
      <x:c r="E88" s="82"/>
      <x:c r="F88" s="82"/>
      <x:c r="G88" s="82"/>
      <x:c r="H88" s="82"/>
      <x:c r="I88" s="82"/>
      <x:c r="J88" s="82"/>
    </x:row>
    <x:row r="89" ht="15" hidden="0" customHeight="1">
      <x:c r="A89" s="82"/>
      <x:c r="B89" s="82"/>
      <x:c r="C89" s="82"/>
      <x:c r="D89" s="82"/>
      <x:c r="E89" s="82"/>
      <x:c r="F89" s="82"/>
      <x:c r="G89" s="82"/>
      <x:c r="H89" s="82"/>
      <x:c r="I89" s="82"/>
      <x:c r="J89" s="82"/>
    </x:row>
    <x:row r="90" ht="15" hidden="0" customHeight="1">
      <x:c r="A90" s="82"/>
      <x:c r="B90" s="82"/>
      <x:c r="C90" s="82"/>
      <x:c r="D90" s="82"/>
      <x:c r="E90" s="82"/>
      <x:c r="F90" s="82"/>
      <x:c r="G90" s="82"/>
      <x:c r="H90" s="82"/>
      <x:c r="I90" s="82"/>
      <x:c r="J90" s="82"/>
    </x:row>
    <x:row r="91" ht="15" hidden="0" customHeight="1">
      <x:c r="A91" s="82"/>
      <x:c r="B91" s="82"/>
      <x:c r="C91" s="82"/>
      <x:c r="D91" s="82"/>
      <x:c r="E91" s="82"/>
      <x:c r="F91" s="82"/>
      <x:c r="G91" s="82"/>
      <x:c r="H91" s="82"/>
      <x:c r="I91" s="82"/>
      <x:c r="J91" s="82"/>
    </x:row>
    <x:row r="92" ht="15" hidden="0" customHeight="1">
      <x:c r="A92" s="82"/>
      <x:c r="B92" s="82"/>
      <x:c r="C92" s="82"/>
      <x:c r="D92" s="82"/>
      <x:c r="E92" s="82"/>
      <x:c r="F92" s="82"/>
      <x:c r="G92" s="82"/>
      <x:c r="H92" s="82"/>
      <x:c r="I92" s="82"/>
      <x:c r="J92" s="82"/>
    </x:row>
    <x:row r="93" ht="15" hidden="0" customHeight="1">
      <x:c r="A93" s="82"/>
      <x:c r="B93" s="82"/>
      <x:c r="C93" s="82"/>
      <x:c r="D93" s="82"/>
      <x:c r="E93" s="82"/>
      <x:c r="F93" s="82"/>
      <x:c r="G93" s="82"/>
      <x:c r="H93" s="82"/>
      <x:c r="I93" s="82"/>
      <x:c r="J93" s="82"/>
    </x:row>
    <x:row r="94" ht="15" hidden="0" customHeight="1">
      <x:c r="A94" s="82"/>
      <x:c r="B94" s="82"/>
      <x:c r="C94" s="82"/>
      <x:c r="D94" s="82"/>
      <x:c r="E94" s="82"/>
      <x:c r="F94" s="82"/>
      <x:c r="G94" s="82"/>
      <x:c r="H94" s="82"/>
      <x:c r="I94" s="82"/>
      <x:c r="J94" s="82"/>
    </x:row>
    <x:row r="95" ht="15" hidden="0" customHeight="1">
      <x:c r="A95" s="82"/>
      <x:c r="B95" s="82"/>
      <x:c r="C95" s="82"/>
      <x:c r="D95" s="82"/>
      <x:c r="E95" s="82"/>
      <x:c r="F95" s="82"/>
      <x:c r="G95" s="82"/>
      <x:c r="H95" s="82"/>
      <x:c r="I95" s="82"/>
      <x:c r="J95" s="82"/>
    </x:row>
    <x:row r="96" ht="15" hidden="0" customHeight="1">
      <x:c r="A96" s="82"/>
      <x:c r="B96" s="82"/>
      <x:c r="C96" s="82"/>
      <x:c r="D96" s="82"/>
      <x:c r="E96" s="82"/>
      <x:c r="F96" s="82"/>
      <x:c r="G96" s="82"/>
      <x:c r="H96" s="82"/>
      <x:c r="I96" s="82"/>
      <x:c r="J96" s="82"/>
    </x:row>
    <x:row r="97" ht="15" hidden="0" customHeight="1">
      <x:c r="A97" s="82"/>
      <x:c r="B97" s="82"/>
      <x:c r="C97" s="82"/>
      <x:c r="D97" s="82"/>
      <x:c r="E97" s="82"/>
      <x:c r="F97" s="82"/>
      <x:c r="G97" s="82"/>
      <x:c r="H97" s="82"/>
      <x:c r="I97" s="82"/>
      <x:c r="J97" s="82"/>
    </x:row>
    <x:row r="98" ht="15" hidden="0" customHeight="1">
      <x:c r="A98" s="82"/>
      <x:c r="B98" s="82"/>
      <x:c r="C98" s="82"/>
      <x:c r="D98" s="82"/>
      <x:c r="E98" s="82"/>
      <x:c r="F98" s="82"/>
      <x:c r="G98" s="82"/>
      <x:c r="H98" s="82"/>
      <x:c r="I98" s="82"/>
      <x:c r="J98" s="82"/>
    </x:row>
    <x:row r="99" ht="15" hidden="0" customHeight="1">
      <x:c r="A99" s="82"/>
      <x:c r="B99" s="82"/>
      <x:c r="C99" s="82"/>
      <x:c r="D99" s="82"/>
      <x:c r="E99" s="82"/>
      <x:c r="F99" s="82"/>
      <x:c r="G99" s="82"/>
      <x:c r="H99" s="82"/>
      <x:c r="I99" s="82"/>
      <x:c r="J99" s="82"/>
    </x:row>
    <x:row r="100" ht="15" hidden="0" customHeight="1">
      <x:c r="A100" s="82"/>
      <x:c r="B100" s="82"/>
      <x:c r="C100" s="82"/>
      <x:c r="D100" s="82"/>
      <x:c r="E100" s="82"/>
      <x:c r="F100" s="82"/>
      <x:c r="G100" s="82"/>
      <x:c r="H100" s="82"/>
      <x:c r="I100" s="82"/>
      <x:c r="J100" s="82"/>
    </x:row>
  </x:sheetData>
  <x:mergeCells>
    <x:mergeCell ref="A1:H1"/>
  </x:mergeCells>
  <x:conditionalFormatting sqref="G3:G100">
    <x:cfRule type="expression" dxfId="8" priority="1">
      <x:formula>G3="구현 완료"</x:formula>
    </x:cfRule>
    <x:cfRule type="expression" dxfId="9" priority="2">
      <x:formula>G3="목표"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997e00351d47cb"/>
  </x:tableParts>
</x:worksheet>
</file>